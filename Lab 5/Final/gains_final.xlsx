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ownloads\"/>
    </mc:Choice>
  </mc:AlternateContent>
  <bookViews>
    <workbookView xWindow="0" yWindow="0" windowWidth="19200" windowHeight="11595"/>
  </bookViews>
  <sheets>
    <sheet name="GodChild Gains" sheetId="4" r:id="rId1"/>
    <sheet name="Sheet1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4" l="1"/>
  <c r="B5" i="4"/>
  <c r="B17" i="4"/>
  <c r="B29" i="4"/>
</calcChain>
</file>

<file path=xl/sharedStrings.xml><?xml version="1.0" encoding="utf-8"?>
<sst xmlns="http://schemas.openxmlformats.org/spreadsheetml/2006/main" count="17" uniqueCount="10">
  <si>
    <t>Vref</t>
  </si>
  <si>
    <t>Vact</t>
  </si>
  <si>
    <t>kp=3</t>
  </si>
  <si>
    <t>Kp=1</t>
  </si>
  <si>
    <t>Kp=5</t>
  </si>
  <si>
    <t>km</t>
  </si>
  <si>
    <t>Km</t>
  </si>
  <si>
    <t>Reference Velocity (BDI / BTI)</t>
  </si>
  <si>
    <t>Actual Velocity (BDI / BTI)</t>
  </si>
  <si>
    <t>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</si>
</sst>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Reference</a:t>
            </a:r>
            <a:r>
              <a:rPr lang="en-US" baseline="0"/>
              <a:t> Velocity Vs. Actual Velocity </a:t>
            </a:r>
            <a:endParaRPr lang="en-US"/>
          </a:p>
        </c:rich>
      </c:tx>
      <c:layout>
        <c:manualLayout>
          <c:xMode val="edge"/>
          <c:yMode val="edge"/>
          <c:x val="0.26994974927839194"/>
          <c:y val="5.9627321416041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4728977950186"/>
          <c:y val="0.16217390642405297"/>
          <c:w val="0.52058940225674433"/>
          <c:h val="0.73707911165694406"/>
        </c:manualLayout>
      </c:layout>
      <c:scatterChart>
        <c:scatterStyle val="smoothMarker"/>
        <c:varyColors val="0"/>
        <c:ser>
          <c:idx val="0"/>
          <c:order val="0"/>
          <c:tx>
            <c:v>Kp =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056203806261659"/>
                  <c:y val="-0.14571712530952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Gains'!$C$3:$C$13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Gains'!$D$3:$D$13</c:f>
              <c:numCache>
                <c:formatCode>General</c:formatCode>
                <c:ptCount val="11"/>
                <c:pt idx="0">
                  <c:v>23</c:v>
                </c:pt>
                <c:pt idx="1">
                  <c:v>18</c:v>
                </c:pt>
                <c:pt idx="2">
                  <c:v>14</c:v>
                </c:pt>
                <c:pt idx="3">
                  <c:v>11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-8</c:v>
                </c:pt>
                <c:pt idx="9">
                  <c:v>-12</c:v>
                </c:pt>
                <c:pt idx="10">
                  <c:v>-16</c:v>
                </c:pt>
              </c:numCache>
            </c:numRef>
          </c:yVal>
          <c:smooth val="1"/>
        </c:ser>
        <c:ser>
          <c:idx val="1"/>
          <c:order val="1"/>
          <c:tx>
            <c:v>Kp =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056203806261659"/>
                  <c:y val="0.170652585898669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Gains'!$C$15:$C$25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Gains'!$D$15:$D$25</c:f>
              <c:numCache>
                <c:formatCode>General</c:formatCode>
                <c:ptCount val="11"/>
                <c:pt idx="0">
                  <c:v>107</c:v>
                </c:pt>
                <c:pt idx="1">
                  <c:v>86</c:v>
                </c:pt>
                <c:pt idx="2">
                  <c:v>65</c:v>
                </c:pt>
                <c:pt idx="3">
                  <c:v>44</c:v>
                </c:pt>
                <c:pt idx="4">
                  <c:v>22</c:v>
                </c:pt>
                <c:pt idx="5">
                  <c:v>0</c:v>
                </c:pt>
                <c:pt idx="6">
                  <c:v>-15</c:v>
                </c:pt>
                <c:pt idx="7">
                  <c:v>-36</c:v>
                </c:pt>
                <c:pt idx="8">
                  <c:v>-58</c:v>
                </c:pt>
                <c:pt idx="9">
                  <c:v>-78</c:v>
                </c:pt>
                <c:pt idx="10">
                  <c:v>-98</c:v>
                </c:pt>
              </c:numCache>
            </c:numRef>
          </c:yVal>
          <c:smooth val="1"/>
        </c:ser>
        <c:ser>
          <c:idx val="2"/>
          <c:order val="2"/>
          <c:tx>
            <c:v>Kp = 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056203806261659"/>
                  <c:y val="1.28027674581216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Gains'!$C$27:$C$37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Gains'!$D$27:$D$37</c:f>
              <c:numCache>
                <c:formatCode>General</c:formatCode>
                <c:ptCount val="11"/>
                <c:pt idx="0">
                  <c:v>65</c:v>
                </c:pt>
                <c:pt idx="1">
                  <c:v>52</c:v>
                </c:pt>
                <c:pt idx="2">
                  <c:v>40</c:v>
                </c:pt>
                <c:pt idx="3">
                  <c:v>27</c:v>
                </c:pt>
                <c:pt idx="4">
                  <c:v>14</c:v>
                </c:pt>
                <c:pt idx="5">
                  <c:v>0</c:v>
                </c:pt>
                <c:pt idx="6">
                  <c:v>-8</c:v>
                </c:pt>
                <c:pt idx="7">
                  <c:v>-20</c:v>
                </c:pt>
                <c:pt idx="8">
                  <c:v>-33</c:v>
                </c:pt>
                <c:pt idx="9">
                  <c:v>-45</c:v>
                </c:pt>
                <c:pt idx="10">
                  <c:v>-58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48904"/>
        <c:axId val="254949296"/>
      </c:scatterChart>
      <c:valAx>
        <c:axId val="254948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Reference Velocity (BDI/BTI)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21801551448973291"/>
              <c:y val="0.92285961124435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49296"/>
        <c:crosses val="autoZero"/>
        <c:crossBetween val="midCat"/>
      </c:valAx>
      <c:valAx>
        <c:axId val="254949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Actual</a:t>
                </a:r>
                <a:r>
                  <a:rPr lang="en-US" sz="1000" baseline="0"/>
                  <a:t> Velocity (BDI/BTI)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2.5877186035182093E-2"/>
              <c:y val="0.3598989671136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48904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3807752917900851"/>
          <c:y val="0.30777332255076323"/>
          <c:w val="0.12883192404320939"/>
          <c:h val="0.16443470534888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Kp=5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092082239720034E-2"/>
                  <c:y val="-7.36220472440945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Gains'!$C$15:$C$25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Gains'!$D$15:$D$25</c:f>
              <c:numCache>
                <c:formatCode>General</c:formatCode>
                <c:ptCount val="11"/>
                <c:pt idx="0">
                  <c:v>107</c:v>
                </c:pt>
                <c:pt idx="1">
                  <c:v>86</c:v>
                </c:pt>
                <c:pt idx="2">
                  <c:v>65</c:v>
                </c:pt>
                <c:pt idx="3">
                  <c:v>44</c:v>
                </c:pt>
                <c:pt idx="4">
                  <c:v>22</c:v>
                </c:pt>
                <c:pt idx="5">
                  <c:v>0</c:v>
                </c:pt>
                <c:pt idx="6">
                  <c:v>-15</c:v>
                </c:pt>
                <c:pt idx="7">
                  <c:v>-36</c:v>
                </c:pt>
                <c:pt idx="8">
                  <c:v>-58</c:v>
                </c:pt>
                <c:pt idx="9">
                  <c:v>-78</c:v>
                </c:pt>
                <c:pt idx="10">
                  <c:v>-98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50080"/>
        <c:axId val="254950472"/>
      </c:scatterChart>
      <c:valAx>
        <c:axId val="2549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50472"/>
        <c:crosses val="autoZero"/>
        <c:crossBetween val="midCat"/>
      </c:valAx>
      <c:valAx>
        <c:axId val="25495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5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Kp=3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Gains'!$C$27:$C$37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Gains'!$D$27:$D$37</c:f>
              <c:numCache>
                <c:formatCode>General</c:formatCode>
                <c:ptCount val="11"/>
                <c:pt idx="0">
                  <c:v>65</c:v>
                </c:pt>
                <c:pt idx="1">
                  <c:v>52</c:v>
                </c:pt>
                <c:pt idx="2">
                  <c:v>40</c:v>
                </c:pt>
                <c:pt idx="3">
                  <c:v>27</c:v>
                </c:pt>
                <c:pt idx="4">
                  <c:v>14</c:v>
                </c:pt>
                <c:pt idx="5">
                  <c:v>0</c:v>
                </c:pt>
                <c:pt idx="6">
                  <c:v>-8</c:v>
                </c:pt>
                <c:pt idx="7">
                  <c:v>-20</c:v>
                </c:pt>
                <c:pt idx="8">
                  <c:v>-33</c:v>
                </c:pt>
                <c:pt idx="9">
                  <c:v>-45</c:v>
                </c:pt>
                <c:pt idx="10">
                  <c:v>-58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51256"/>
        <c:axId val="256487248"/>
      </c:scatterChart>
      <c:valAx>
        <c:axId val="254951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87248"/>
        <c:crosses val="autoZero"/>
        <c:crossBetween val="midCat"/>
      </c:valAx>
      <c:valAx>
        <c:axId val="2564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51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442912</xdr:colOff>
      <xdr:row>2</xdr:row>
      <xdr:rowOff>166686</xdr:rowOff>
    </xdr:from>
    <xdr:to>
      <xdr:col>13</xdr:col>
      <xdr:colOff>133350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519112</xdr:colOff>
      <xdr:row>25</xdr:row>
      <xdr:rowOff>176212</xdr:rowOff>
    </xdr:from>
    <xdr:to>
      <xdr:col>13</xdr:col>
      <xdr:colOff>214312</xdr:colOff>
      <xdr:row>40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595312</xdr:colOff>
      <xdr:row>25</xdr:row>
      <xdr:rowOff>176212</xdr:rowOff>
    </xdr:from>
    <xdr:to>
      <xdr:col>21</xdr:col>
      <xdr:colOff>290512</xdr:colOff>
      <xdr:row>40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7"/>
  <sheetViews>
    <sheetView tabSelected="1" workbookViewId="0">
      <selection activeCell="C27" sqref="C27:D37"/>
    </sheetView>
  </sheetViews>
  <sheetFormatPr defaultRowHeight="15" x14ac:dyDescent="0.25"/>
  <sheetData>
    <row r="2" spans="2:4" x14ac:dyDescent="0.25">
      <c r="C2" t="s">
        <v>0</v>
      </c>
      <c r="D2" t="s">
        <v>1</v>
      </c>
    </row>
    <row r="3" spans="2:4" x14ac:dyDescent="0.25">
      <c r="B3" t="s">
        <v>3</v>
      </c>
      <c r="C3">
        <v>125</v>
      </c>
      <c r="D3">
        <v>23</v>
      </c>
    </row>
    <row r="4" spans="2:4" x14ac:dyDescent="0.25">
      <c r="B4" t="s">
        <v>6</v>
      </c>
      <c r="C4">
        <v>100</v>
      </c>
      <c r="D4">
        <v>18</v>
      </c>
    </row>
    <row r="5" spans="2:4" x14ac:dyDescent="0.25">
      <c r="B5">
        <f>0.1502/(0.637*1*9.6*0.00244)</f>
        <v>10.066290072144874</v>
      </c>
      <c r="C5">
        <v>75</v>
      </c>
      <c r="D5">
        <v>14</v>
      </c>
    </row>
    <row r="6" spans="2:4" x14ac:dyDescent="0.25">
      <c r="C6">
        <v>50</v>
      </c>
      <c r="D6">
        <v>11</v>
      </c>
    </row>
    <row r="7" spans="2:4" x14ac:dyDescent="0.25">
      <c r="C7">
        <v>25</v>
      </c>
      <c r="D7">
        <v>6</v>
      </c>
    </row>
    <row r="8" spans="2:4" x14ac:dyDescent="0.25">
      <c r="C8">
        <v>0</v>
      </c>
      <c r="D8">
        <v>0</v>
      </c>
    </row>
    <row r="9" spans="2:4" x14ac:dyDescent="0.25">
      <c r="C9">
        <v>-25</v>
      </c>
      <c r="D9">
        <v>0</v>
      </c>
    </row>
    <row r="10" spans="2:4" x14ac:dyDescent="0.25">
      <c r="C10">
        <v>-50</v>
      </c>
      <c r="D10">
        <v>-2</v>
      </c>
    </row>
    <row r="11" spans="2:4" x14ac:dyDescent="0.25">
      <c r="C11">
        <v>-75</v>
      </c>
      <c r="D11">
        <v>-8</v>
      </c>
    </row>
    <row r="12" spans="2:4" x14ac:dyDescent="0.25">
      <c r="C12">
        <v>-100</v>
      </c>
      <c r="D12">
        <v>-12</v>
      </c>
    </row>
    <row r="13" spans="2:4" x14ac:dyDescent="0.25">
      <c r="C13">
        <v>-125</v>
      </c>
      <c r="D13">
        <v>-16</v>
      </c>
    </row>
    <row r="15" spans="2:4" x14ac:dyDescent="0.25">
      <c r="B15" t="s">
        <v>4</v>
      </c>
      <c r="C15">
        <v>125</v>
      </c>
      <c r="D15">
        <v>107</v>
      </c>
    </row>
    <row r="16" spans="2:4" x14ac:dyDescent="0.25">
      <c r="B16" t="s">
        <v>6</v>
      </c>
      <c r="C16">
        <v>100</v>
      </c>
      <c r="D16">
        <v>86</v>
      </c>
    </row>
    <row r="17" spans="2:4" x14ac:dyDescent="0.25">
      <c r="B17">
        <f>0.8171/(0.637*5*9.6*0.00244)</f>
        <v>10.952284444673205</v>
      </c>
      <c r="C17">
        <v>75</v>
      </c>
      <c r="D17">
        <v>65</v>
      </c>
    </row>
    <row r="18" spans="2:4" x14ac:dyDescent="0.25">
      <c r="C18">
        <v>50</v>
      </c>
      <c r="D18">
        <v>44</v>
      </c>
    </row>
    <row r="19" spans="2:4" x14ac:dyDescent="0.25">
      <c r="C19">
        <v>25</v>
      </c>
      <c r="D19">
        <v>22</v>
      </c>
    </row>
    <row r="20" spans="2:4" x14ac:dyDescent="0.25">
      <c r="C20">
        <v>0</v>
      </c>
      <c r="D20">
        <v>0</v>
      </c>
    </row>
    <row r="21" spans="2:4" x14ac:dyDescent="0.25">
      <c r="C21">
        <v>-25</v>
      </c>
      <c r="D21">
        <v>-15</v>
      </c>
    </row>
    <row r="22" spans="2:4" x14ac:dyDescent="0.25">
      <c r="C22">
        <v>-50</v>
      </c>
      <c r="D22">
        <v>-36</v>
      </c>
    </row>
    <row r="23" spans="2:4" x14ac:dyDescent="0.25">
      <c r="C23">
        <v>-75</v>
      </c>
      <c r="D23">
        <v>-58</v>
      </c>
    </row>
    <row r="24" spans="2:4" x14ac:dyDescent="0.25">
      <c r="C24">
        <v>-100</v>
      </c>
      <c r="D24">
        <v>-78</v>
      </c>
    </row>
    <row r="25" spans="2:4" x14ac:dyDescent="0.25">
      <c r="C25">
        <v>-125</v>
      </c>
      <c r="D25">
        <v>-98</v>
      </c>
    </row>
    <row r="27" spans="2:4" x14ac:dyDescent="0.25">
      <c r="B27" t="s">
        <v>2</v>
      </c>
      <c r="C27">
        <v>125</v>
      </c>
      <c r="D27">
        <v>65</v>
      </c>
    </row>
    <row r="28" spans="2:4" x14ac:dyDescent="0.25">
      <c r="B28" t="s">
        <v>5</v>
      </c>
      <c r="C28">
        <v>100</v>
      </c>
      <c r="D28">
        <v>52</v>
      </c>
    </row>
    <row r="29" spans="2:4" x14ac:dyDescent="0.25">
      <c r="B29">
        <f>0.4865/(0.637*3*9.6*0.00244)</f>
        <v>10.868286995336174</v>
      </c>
      <c r="C29">
        <v>75</v>
      </c>
      <c r="D29">
        <v>40</v>
      </c>
    </row>
    <row r="30" spans="2:4" x14ac:dyDescent="0.25">
      <c r="C30">
        <v>50</v>
      </c>
      <c r="D30">
        <v>27</v>
      </c>
    </row>
    <row r="31" spans="2:4" x14ac:dyDescent="0.25">
      <c r="C31">
        <v>25</v>
      </c>
      <c r="D31">
        <v>14</v>
      </c>
    </row>
    <row r="32" spans="2:4" x14ac:dyDescent="0.25">
      <c r="C32">
        <v>0</v>
      </c>
      <c r="D32">
        <v>0</v>
      </c>
    </row>
    <row r="33" spans="2:4" x14ac:dyDescent="0.25">
      <c r="B33">
        <f>AVERAGE(B29,B17,B5)</f>
        <v>10.628953837384751</v>
      </c>
      <c r="C33">
        <v>-25</v>
      </c>
      <c r="D33">
        <v>-8</v>
      </c>
    </row>
    <row r="34" spans="2:4" x14ac:dyDescent="0.25">
      <c r="C34">
        <v>-50</v>
      </c>
      <c r="D34">
        <v>-20</v>
      </c>
    </row>
    <row r="35" spans="2:4" x14ac:dyDescent="0.25">
      <c r="C35">
        <v>-75</v>
      </c>
      <c r="D35">
        <v>-33</v>
      </c>
    </row>
    <row r="36" spans="2:4" x14ac:dyDescent="0.25">
      <c r="C36">
        <v>-100</v>
      </c>
      <c r="D36">
        <v>-45</v>
      </c>
    </row>
    <row r="37" spans="2:4" x14ac:dyDescent="0.25">
      <c r="C37">
        <v>-125</v>
      </c>
      <c r="D37">
        <v>-58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sqref="A1:I12"/>
    </sheetView>
  </sheetViews>
  <sheetFormatPr defaultRowHeight="15" x14ac:dyDescent="0.25"/>
  <cols>
    <col min="1" max="1" width="9.140625" style="1"/>
    <col min="2" max="2" width="11" style="1" customWidth="1"/>
    <col min="3" max="3" width="11.5703125" style="1" customWidth="1"/>
    <col min="4" max="4" width="9.140625" style="1"/>
    <col min="5" max="5" width="11.5703125" style="1" customWidth="1"/>
    <col min="6" max="6" width="10.42578125" style="1" customWidth="1"/>
    <col min="7" max="7" width="9.140625" style="1"/>
    <col min="8" max="8" width="11.42578125" style="1" customWidth="1"/>
    <col min="9" max="9" width="10.140625" style="1" customWidth="1"/>
    <col min="10" max="16384" width="9.140625" style="1"/>
  </cols>
  <sheetData>
    <row r="1" spans="1:9" ht="60" x14ac:dyDescent="0.25">
      <c r="A1" s="4" t="s">
        <v>9</v>
      </c>
      <c r="B1" s="5" t="s">
        <v>7</v>
      </c>
      <c r="C1" s="5" t="s">
        <v>8</v>
      </c>
      <c r="D1" s="4" t="s">
        <v>9</v>
      </c>
      <c r="E1" s="5" t="s">
        <v>7</v>
      </c>
      <c r="F1" s="5" t="s">
        <v>8</v>
      </c>
      <c r="G1" s="4" t="s">
        <v>9</v>
      </c>
      <c r="H1" s="5" t="s">
        <v>7</v>
      </c>
      <c r="I1" s="5" t="s">
        <v>8</v>
      </c>
    </row>
    <row r="2" spans="1:9" x14ac:dyDescent="0.25">
      <c r="A2" s="2">
        <v>1</v>
      </c>
      <c r="B2" s="3">
        <v>125</v>
      </c>
      <c r="C2" s="3">
        <v>23</v>
      </c>
      <c r="D2" s="2">
        <v>3</v>
      </c>
      <c r="E2" s="3">
        <v>125</v>
      </c>
      <c r="F2" s="3">
        <v>107</v>
      </c>
      <c r="G2" s="2">
        <v>5</v>
      </c>
      <c r="H2" s="3">
        <v>125</v>
      </c>
      <c r="I2" s="3">
        <v>65</v>
      </c>
    </row>
    <row r="3" spans="1:9" x14ac:dyDescent="0.25">
      <c r="A3" s="2"/>
      <c r="B3" s="3">
        <v>100</v>
      </c>
      <c r="C3" s="3">
        <v>18</v>
      </c>
      <c r="D3" s="2"/>
      <c r="E3" s="3">
        <v>100</v>
      </c>
      <c r="F3" s="3">
        <v>86</v>
      </c>
      <c r="G3" s="2"/>
      <c r="H3" s="3">
        <v>100</v>
      </c>
      <c r="I3" s="3">
        <v>52</v>
      </c>
    </row>
    <row r="4" spans="1:9" x14ac:dyDescent="0.25">
      <c r="A4" s="2"/>
      <c r="B4" s="3">
        <v>75</v>
      </c>
      <c r="C4" s="3">
        <v>14</v>
      </c>
      <c r="D4" s="2"/>
      <c r="E4" s="3">
        <v>75</v>
      </c>
      <c r="F4" s="3">
        <v>65</v>
      </c>
      <c r="G4" s="2"/>
      <c r="H4" s="3">
        <v>75</v>
      </c>
      <c r="I4" s="3">
        <v>40</v>
      </c>
    </row>
    <row r="5" spans="1:9" x14ac:dyDescent="0.25">
      <c r="A5" s="2"/>
      <c r="B5" s="3">
        <v>50</v>
      </c>
      <c r="C5" s="3">
        <v>11</v>
      </c>
      <c r="D5" s="2"/>
      <c r="E5" s="3">
        <v>50</v>
      </c>
      <c r="F5" s="3">
        <v>44</v>
      </c>
      <c r="G5" s="2"/>
      <c r="H5" s="3">
        <v>50</v>
      </c>
      <c r="I5" s="3">
        <v>27</v>
      </c>
    </row>
    <row r="6" spans="1:9" x14ac:dyDescent="0.25">
      <c r="A6" s="2"/>
      <c r="B6" s="3">
        <v>25</v>
      </c>
      <c r="C6" s="3">
        <v>6</v>
      </c>
      <c r="D6" s="2"/>
      <c r="E6" s="3">
        <v>25</v>
      </c>
      <c r="F6" s="3">
        <v>22</v>
      </c>
      <c r="G6" s="2"/>
      <c r="H6" s="3">
        <v>25</v>
      </c>
      <c r="I6" s="3">
        <v>14</v>
      </c>
    </row>
    <row r="7" spans="1:9" x14ac:dyDescent="0.25">
      <c r="A7" s="2"/>
      <c r="B7" s="3">
        <v>0</v>
      </c>
      <c r="C7" s="3">
        <v>0</v>
      </c>
      <c r="D7" s="2"/>
      <c r="E7" s="3">
        <v>0</v>
      </c>
      <c r="F7" s="3">
        <v>0</v>
      </c>
      <c r="G7" s="2"/>
      <c r="H7" s="3">
        <v>0</v>
      </c>
      <c r="I7" s="3">
        <v>0</v>
      </c>
    </row>
    <row r="8" spans="1:9" x14ac:dyDescent="0.25">
      <c r="A8" s="2"/>
      <c r="B8" s="3">
        <v>-25</v>
      </c>
      <c r="C8" s="3">
        <v>0</v>
      </c>
      <c r="D8" s="2"/>
      <c r="E8" s="3">
        <v>-25</v>
      </c>
      <c r="F8" s="3">
        <v>-15</v>
      </c>
      <c r="G8" s="2"/>
      <c r="H8" s="3">
        <v>-25</v>
      </c>
      <c r="I8" s="3">
        <v>-8</v>
      </c>
    </row>
    <row r="9" spans="1:9" x14ac:dyDescent="0.25">
      <c r="A9" s="2"/>
      <c r="B9" s="3">
        <v>-50</v>
      </c>
      <c r="C9" s="3">
        <v>-2</v>
      </c>
      <c r="D9" s="2"/>
      <c r="E9" s="3">
        <v>-50</v>
      </c>
      <c r="F9" s="3">
        <v>-36</v>
      </c>
      <c r="G9" s="2"/>
      <c r="H9" s="3">
        <v>-50</v>
      </c>
      <c r="I9" s="3">
        <v>-20</v>
      </c>
    </row>
    <row r="10" spans="1:9" x14ac:dyDescent="0.25">
      <c r="A10" s="2"/>
      <c r="B10" s="3">
        <v>-75</v>
      </c>
      <c r="C10" s="3">
        <v>-8</v>
      </c>
      <c r="D10" s="2"/>
      <c r="E10" s="3">
        <v>-75</v>
      </c>
      <c r="F10" s="3">
        <v>-58</v>
      </c>
      <c r="G10" s="2"/>
      <c r="H10" s="3">
        <v>-75</v>
      </c>
      <c r="I10" s="3">
        <v>-33</v>
      </c>
    </row>
    <row r="11" spans="1:9" x14ac:dyDescent="0.25">
      <c r="A11" s="2"/>
      <c r="B11" s="3">
        <v>-100</v>
      </c>
      <c r="C11" s="3">
        <v>-12</v>
      </c>
      <c r="D11" s="2"/>
      <c r="E11" s="3">
        <v>-100</v>
      </c>
      <c r="F11" s="3">
        <v>-78</v>
      </c>
      <c r="G11" s="2"/>
      <c r="H11" s="3">
        <v>-100</v>
      </c>
      <c r="I11" s="3">
        <v>-45</v>
      </c>
    </row>
    <row r="12" spans="1:9" x14ac:dyDescent="0.25">
      <c r="A12" s="2"/>
      <c r="B12" s="3">
        <v>-125</v>
      </c>
      <c r="C12" s="3">
        <v>-16</v>
      </c>
      <c r="D12" s="2"/>
      <c r="E12" s="3">
        <v>-125</v>
      </c>
      <c r="F12" s="3">
        <v>-98</v>
      </c>
      <c r="G12" s="2"/>
      <c r="H12" s="3">
        <v>-125</v>
      </c>
      <c r="I12" s="3">
        <v>-58</v>
      </c>
    </row>
  </sheetData>
  <mergeCells count="3">
    <mergeCell ref="A2:A12"/>
    <mergeCell ref="D2:D12"/>
    <mergeCell ref="G2:G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GodChild Gains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2015-12-03T23:30:31Z</dcterms:created>
  <dcterms:modified xsi:type="dcterms:W3CDTF">2015-12-05T00:06:53Z</dcterms:modified>
</cp:coreProperties>
</file>
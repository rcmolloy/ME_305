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elab15\Desktop\"/>
    </mc:Choice>
  </mc:AlternateContent>
  <bookViews>
    <workbookView xWindow="0" yWindow="0" windowWidth="19200" windowHeight="11595"/>
  </bookViews>
  <sheets>
    <sheet name="GodChild Gains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4" l="1"/>
  <c r="B5" i="4"/>
  <c r="B17" i="4"/>
  <c r="B29" i="4"/>
</calcChain>
</file>

<file path=xl/sharedStrings.xml><?xml version="1.0" encoding="utf-8"?>
<sst xmlns="http://schemas.openxmlformats.org/spreadsheetml/2006/main" count="8" uniqueCount="7">
  <si>
    <t>Vref</t>
  </si>
  <si>
    <t>Vact</t>
  </si>
  <si>
    <t>kp=3</t>
  </si>
  <si>
    <t>Kp=1</t>
  </si>
  <si>
    <t>Kp=5</t>
  </si>
  <si>
    <t>km</t>
  </si>
  <si>
    <t>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</si>
</sst>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kp=1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Gains'!$C$3:$C$13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Gains'!$D$3:$D$13</c:f>
              <c:numCache>
                <c:formatCode>General</c:formatCode>
                <c:ptCount val="11"/>
                <c:pt idx="0">
                  <c:v>23</c:v>
                </c:pt>
                <c:pt idx="1">
                  <c:v>18</c:v>
                </c:pt>
                <c:pt idx="2">
                  <c:v>14</c:v>
                </c:pt>
                <c:pt idx="3">
                  <c:v>11</c:v>
                </c:pt>
                <c:pt idx="4">
                  <c:v>6</c:v>
                </c:pt>
                <c:pt idx="5">
                  <c:v>0</c:v>
                </c:pt>
                <c:pt idx="6">
                  <c:v>0</c:v>
                </c:pt>
                <c:pt idx="7">
                  <c:v>-2</c:v>
                </c:pt>
                <c:pt idx="8">
                  <c:v>-8</c:v>
                </c:pt>
                <c:pt idx="9">
                  <c:v>-12</c:v>
                </c:pt>
                <c:pt idx="10">
                  <c:v>-16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1621904"/>
        <c:axId val="244342712"/>
      </c:scatterChart>
      <c:valAx>
        <c:axId val="281621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342712"/>
        <c:crosses val="autoZero"/>
        <c:crossBetween val="midCat"/>
      </c:valAx>
      <c:valAx>
        <c:axId val="244342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621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Kp=5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5092082239720034E-2"/>
                  <c:y val="-7.362204724409450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Gains'!$C$15:$C$25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Gains'!$D$15:$D$25</c:f>
              <c:numCache>
                <c:formatCode>General</c:formatCode>
                <c:ptCount val="11"/>
                <c:pt idx="0">
                  <c:v>107</c:v>
                </c:pt>
                <c:pt idx="1">
                  <c:v>86</c:v>
                </c:pt>
                <c:pt idx="2">
                  <c:v>65</c:v>
                </c:pt>
                <c:pt idx="3">
                  <c:v>44</c:v>
                </c:pt>
                <c:pt idx="4">
                  <c:v>22</c:v>
                </c:pt>
                <c:pt idx="5">
                  <c:v>0</c:v>
                </c:pt>
                <c:pt idx="6">
                  <c:v>-15</c:v>
                </c:pt>
                <c:pt idx="7">
                  <c:v>-36</c:v>
                </c:pt>
                <c:pt idx="8">
                  <c:v>-58</c:v>
                </c:pt>
                <c:pt idx="9">
                  <c:v>-78</c:v>
                </c:pt>
                <c:pt idx="10">
                  <c:v>-98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794192"/>
        <c:axId val="317794584"/>
      </c:scatterChart>
      <c:valAx>
        <c:axId val="31779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94584"/>
        <c:crosses val="autoZero"/>
        <c:crossBetween val="midCat"/>
      </c:valAx>
      <c:valAx>
        <c:axId val="317794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79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Kp=3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'GodChild Gains'!$C$27:$C$37</c:f>
              <c:numCache>
                <c:formatCode>General</c:formatCode>
                <c:ptCount val="11"/>
                <c:pt idx="0">
                  <c:v>125</c:v>
                </c:pt>
                <c:pt idx="1">
                  <c:v>100</c:v>
                </c:pt>
                <c:pt idx="2">
                  <c:v>75</c:v>
                </c:pt>
                <c:pt idx="3">
                  <c:v>50</c:v>
                </c:pt>
                <c:pt idx="4">
                  <c:v>25</c:v>
                </c:pt>
                <c:pt idx="5">
                  <c:v>0</c:v>
                </c:pt>
                <c:pt idx="6">
                  <c:v>-25</c:v>
                </c:pt>
                <c:pt idx="7">
                  <c:v>-50</c:v>
                </c:pt>
                <c:pt idx="8">
                  <c:v>-75</c:v>
                </c:pt>
                <c:pt idx="9">
                  <c:v>-100</c:v>
                </c:pt>
                <c:pt idx="10">
                  <c:v>-125</c:v>
                </c:pt>
              </c:numCache>
            </c:numRef>
          </c:xVal>
          <c:yVal>
            <c:numRef>
              <c:f>'GodChild Gains'!$D$27:$D$37</c:f>
              <c:numCache>
                <c:formatCode>General</c:formatCode>
                <c:ptCount val="11"/>
                <c:pt idx="0">
                  <c:v>65</c:v>
                </c:pt>
                <c:pt idx="1">
                  <c:v>52</c:v>
                </c:pt>
                <c:pt idx="2">
                  <c:v>40</c:v>
                </c:pt>
                <c:pt idx="3">
                  <c:v>27</c:v>
                </c:pt>
                <c:pt idx="4">
                  <c:v>14</c:v>
                </c:pt>
                <c:pt idx="5">
                  <c:v>0</c:v>
                </c:pt>
                <c:pt idx="6">
                  <c:v>-8</c:v>
                </c:pt>
                <c:pt idx="7">
                  <c:v>-20</c:v>
                </c:pt>
                <c:pt idx="8">
                  <c:v>-33</c:v>
                </c:pt>
                <c:pt idx="9">
                  <c:v>-45</c:v>
                </c:pt>
                <c:pt idx="10">
                  <c:v>-58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149480"/>
        <c:axId val="283151832"/>
      </c:scatterChart>
      <c:valAx>
        <c:axId val="283149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51832"/>
        <c:crosses val="autoZero"/>
        <c:crossBetween val="midCat"/>
      </c:valAx>
      <c:valAx>
        <c:axId val="283151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149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242887</xdr:colOff>
      <xdr:row>0</xdr:row>
      <xdr:rowOff>147637</xdr:rowOff>
    </xdr:from>
    <xdr:to>
      <xdr:col>11</xdr:col>
      <xdr:colOff>547687</xdr:colOff>
      <xdr:row>15</xdr:row>
      <xdr:rowOff>33337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233362</xdr:colOff>
      <xdr:row>15</xdr:row>
      <xdr:rowOff>90487</xdr:rowOff>
    </xdr:from>
    <xdr:to>
      <xdr:col>11</xdr:col>
      <xdr:colOff>538162</xdr:colOff>
      <xdr:row>29</xdr:row>
      <xdr:rowOff>166687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300037</xdr:colOff>
      <xdr:row>23</xdr:row>
      <xdr:rowOff>52387</xdr:rowOff>
    </xdr:from>
    <xdr:to>
      <xdr:col>13</xdr:col>
      <xdr:colOff>604837</xdr:colOff>
      <xdr:row>37</xdr:row>
      <xdr:rowOff>128587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7"/>
  <sheetViews>
    <sheetView tabSelected="1" workbookViewId="0">
      <selection activeCell="B33" sqref="B33"/>
    </sheetView>
  </sheetViews>
  <sheetFormatPr defaultRowHeight="15" x14ac:dyDescent="0.25"/>
  <sheetData>
    <row r="2" spans="2:4" x14ac:dyDescent="0.25">
      <c r="C2" t="s">
        <v>0</v>
      </c>
      <c r="D2" t="s">
        <v>1</v>
      </c>
    </row>
    <row r="3" spans="2:4" x14ac:dyDescent="0.25">
      <c r="B3" t="s">
        <v>3</v>
      </c>
      <c r="C3">
        <v>125</v>
      </c>
      <c r="D3">
        <v>23</v>
      </c>
    </row>
    <row r="4" spans="2:4" x14ac:dyDescent="0.25">
      <c r="B4" t="s">
        <v>6</v>
      </c>
      <c r="C4">
        <v>100</v>
      </c>
      <c r="D4">
        <v>18</v>
      </c>
    </row>
    <row r="5" spans="2:4" x14ac:dyDescent="0.25">
      <c r="B5">
        <f>0.1502/(0.637*1*9.6*0.00244)</f>
        <v>10.066290072144874</v>
      </c>
      <c r="C5">
        <v>75</v>
      </c>
      <c r="D5">
        <v>14</v>
      </c>
    </row>
    <row r="6" spans="2:4" x14ac:dyDescent="0.25">
      <c r="C6">
        <v>50</v>
      </c>
      <c r="D6">
        <v>11</v>
      </c>
    </row>
    <row r="7" spans="2:4" x14ac:dyDescent="0.25">
      <c r="C7">
        <v>25</v>
      </c>
      <c r="D7">
        <v>6</v>
      </c>
    </row>
    <row r="8" spans="2:4" x14ac:dyDescent="0.25">
      <c r="C8">
        <v>0</v>
      </c>
      <c r="D8">
        <v>0</v>
      </c>
    </row>
    <row r="9" spans="2:4" x14ac:dyDescent="0.25">
      <c r="C9">
        <v>-25</v>
      </c>
      <c r="D9">
        <v>0</v>
      </c>
    </row>
    <row r="10" spans="2:4" x14ac:dyDescent="0.25">
      <c r="C10">
        <v>-50</v>
      </c>
      <c r="D10">
        <v>-2</v>
      </c>
    </row>
    <row r="11" spans="2:4" x14ac:dyDescent="0.25">
      <c r="C11">
        <v>-75</v>
      </c>
      <c r="D11">
        <v>-8</v>
      </c>
    </row>
    <row r="12" spans="2:4" x14ac:dyDescent="0.25">
      <c r="C12">
        <v>-100</v>
      </c>
      <c r="D12">
        <v>-12</v>
      </c>
    </row>
    <row r="13" spans="2:4" x14ac:dyDescent="0.25">
      <c r="C13">
        <v>-125</v>
      </c>
      <c r="D13">
        <v>-16</v>
      </c>
    </row>
    <row r="15" spans="2:4" x14ac:dyDescent="0.25">
      <c r="B15" t="s">
        <v>4</v>
      </c>
      <c r="C15">
        <v>125</v>
      </c>
      <c r="D15">
        <v>107</v>
      </c>
    </row>
    <row r="16" spans="2:4" x14ac:dyDescent="0.25">
      <c r="B16" t="s">
        <v>6</v>
      </c>
      <c r="C16">
        <v>100</v>
      </c>
      <c r="D16">
        <v>86</v>
      </c>
    </row>
    <row r="17" spans="2:4" x14ac:dyDescent="0.25">
      <c r="B17">
        <f>0.8171/(0.637*5*9.6*0.00244)</f>
        <v>10.952284444673205</v>
      </c>
      <c r="C17">
        <v>75</v>
      </c>
      <c r="D17">
        <v>65</v>
      </c>
    </row>
    <row r="18" spans="2:4" x14ac:dyDescent="0.25">
      <c r="C18">
        <v>50</v>
      </c>
      <c r="D18">
        <v>44</v>
      </c>
    </row>
    <row r="19" spans="2:4" x14ac:dyDescent="0.25">
      <c r="C19">
        <v>25</v>
      </c>
      <c r="D19">
        <v>22</v>
      </c>
    </row>
    <row r="20" spans="2:4" x14ac:dyDescent="0.25">
      <c r="C20">
        <v>0</v>
      </c>
      <c r="D20">
        <v>0</v>
      </c>
    </row>
    <row r="21" spans="2:4" x14ac:dyDescent="0.25">
      <c r="C21">
        <v>-25</v>
      </c>
      <c r="D21">
        <v>-15</v>
      </c>
    </row>
    <row r="22" spans="2:4" x14ac:dyDescent="0.25">
      <c r="C22">
        <v>-50</v>
      </c>
      <c r="D22">
        <v>-36</v>
      </c>
    </row>
    <row r="23" spans="2:4" x14ac:dyDescent="0.25">
      <c r="C23">
        <v>-75</v>
      </c>
      <c r="D23">
        <v>-58</v>
      </c>
    </row>
    <row r="24" spans="2:4" x14ac:dyDescent="0.25">
      <c r="C24">
        <v>-100</v>
      </c>
      <c r="D24">
        <v>-78</v>
      </c>
    </row>
    <row r="25" spans="2:4" x14ac:dyDescent="0.25">
      <c r="C25">
        <v>-125</v>
      </c>
      <c r="D25">
        <v>-98</v>
      </c>
    </row>
    <row r="27" spans="2:4" x14ac:dyDescent="0.25">
      <c r="B27" t="s">
        <v>2</v>
      </c>
      <c r="C27">
        <v>125</v>
      </c>
      <c r="D27">
        <v>65</v>
      </c>
    </row>
    <row r="28" spans="2:4" x14ac:dyDescent="0.25">
      <c r="B28" t="s">
        <v>5</v>
      </c>
      <c r="C28">
        <v>100</v>
      </c>
      <c r="D28">
        <v>52</v>
      </c>
    </row>
    <row r="29" spans="2:4" x14ac:dyDescent="0.25">
      <c r="B29">
        <f>0.4865/(0.637*3*9.6*0.00244)</f>
        <v>10.868286995336174</v>
      </c>
      <c r="C29">
        <v>75</v>
      </c>
      <c r="D29">
        <v>40</v>
      </c>
    </row>
    <row r="30" spans="2:4" x14ac:dyDescent="0.25">
      <c r="C30">
        <v>50</v>
      </c>
      <c r="D30">
        <v>27</v>
      </c>
    </row>
    <row r="31" spans="2:4" x14ac:dyDescent="0.25">
      <c r="C31">
        <v>25</v>
      </c>
      <c r="D31">
        <v>14</v>
      </c>
    </row>
    <row r="32" spans="2:4" x14ac:dyDescent="0.25">
      <c r="C32">
        <v>0</v>
      </c>
      <c r="D32">
        <v>0</v>
      </c>
    </row>
    <row r="33" spans="2:4" x14ac:dyDescent="0.25">
      <c r="B33">
        <f>AVERAGE(B29,B17,B5)</f>
        <v>10.628953837384751</v>
      </c>
      <c r="C33">
        <v>-25</v>
      </c>
      <c r="D33">
        <v>-8</v>
      </c>
    </row>
    <row r="34" spans="2:4" x14ac:dyDescent="0.25">
      <c r="C34">
        <v>-50</v>
      </c>
      <c r="D34">
        <v>-20</v>
      </c>
    </row>
    <row r="35" spans="2:4" x14ac:dyDescent="0.25">
      <c r="C35">
        <v>-75</v>
      </c>
      <c r="D35">
        <v>-33</v>
      </c>
    </row>
    <row r="36" spans="2:4" x14ac:dyDescent="0.25">
      <c r="C36">
        <v>-100</v>
      </c>
      <c r="D36">
        <v>-45</v>
      </c>
    </row>
    <row r="37" spans="2:4" x14ac:dyDescent="0.25">
      <c r="C37">
        <v>-125</v>
      </c>
      <c r="D37">
        <v>-58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GodChild Gains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melab15</dc:creator>
  <cp:lastModifiedBy>melab15</cp:lastModifiedBy>
  <dcterms:created xsi:type="dcterms:W3CDTF">2015-12-03T23:30:31Z</dcterms:created>
  <dcterms:modified xsi:type="dcterms:W3CDTF">2015-12-04T23:24:16Z</dcterms:modified>
</cp:coreProperties>
</file>
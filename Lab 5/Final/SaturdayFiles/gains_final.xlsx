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lab15\Desktop\Excel Files\"/>
    </mc:Choice>
  </mc:AlternateContent>
  <bookViews>
    <workbookView xWindow="0" yWindow="0" windowWidth="19200" windowHeight="11595" activeTab="1"/>
  </bookViews>
  <sheets>
    <sheet name="GodChild Gains" sheetId="4" r:id="rId1"/>
    <sheet name="Sheet1" sheetId="5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3" i="4" l="1"/>
  <c r="B5" i="4"/>
  <c r="B17" i="4"/>
  <c r="B29" i="4"/>
</calcChain>
</file>

<file path=xl/sharedStrings.xml><?xml version="1.0" encoding="utf-8"?>
<sst xmlns="http://schemas.openxmlformats.org/spreadsheetml/2006/main" count="26" uniqueCount="10">
  <si>
    <t>Vref</t>
  </si>
  <si>
    <t>Vact</t>
  </si>
  <si>
    <t>kp=3</t>
  </si>
  <si>
    <t>Kp=1</t>
  </si>
  <si>
    <t>Kp=5</t>
  </si>
  <si>
    <t>km</t>
  </si>
  <si>
    <t>Km</t>
  </si>
  <si>
    <t>Reference Velocity (BDI / BTI)</t>
  </si>
  <si>
    <t>Actual Velocity (BDI / BTI)</t>
  </si>
  <si>
    <t>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</si>
</sst>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Reference</a:t>
            </a:r>
            <a:r>
              <a:rPr lang="en-US" baseline="0"/>
              <a:t> Velocity Vs. Actual Velocity </a:t>
            </a:r>
            <a:endParaRPr lang="en-US"/>
          </a:p>
        </c:rich>
      </c:tx>
      <c:layout>
        <c:manualLayout>
          <c:xMode val="edge"/>
          <c:yMode val="edge"/>
          <c:x val="0.26994974927839194"/>
          <c:y val="5.96273214160419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44728977950186"/>
          <c:y val="0.16217390642405297"/>
          <c:w val="0.52058940225674433"/>
          <c:h val="0.73707911165694406"/>
        </c:manualLayout>
      </c:layout>
      <c:scatterChart>
        <c:scatterStyle val="smoothMarker"/>
        <c:varyColors val="0"/>
        <c:ser>
          <c:idx val="0"/>
          <c:order val="0"/>
          <c:tx>
            <c:v>Kp =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4056203806261659"/>
                  <c:y val="-0.145717125309525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'GodChild Gains'!$C$3:$C$13</c:f>
              <c:numCache>
                <c:formatCode>General</c:formatCode>
                <c:ptCount val="11"/>
                <c:pt idx="0">
                  <c:v>125</c:v>
                </c:pt>
                <c:pt idx="1">
                  <c:v>100</c:v>
                </c:pt>
                <c:pt idx="2">
                  <c:v>75</c:v>
                </c:pt>
                <c:pt idx="3">
                  <c:v>50</c:v>
                </c:pt>
                <c:pt idx="4">
                  <c:v>25</c:v>
                </c:pt>
                <c:pt idx="5">
                  <c:v>0</c:v>
                </c:pt>
                <c:pt idx="6">
                  <c:v>-25</c:v>
                </c:pt>
                <c:pt idx="7">
                  <c:v>-50</c:v>
                </c:pt>
                <c:pt idx="8">
                  <c:v>-75</c:v>
                </c:pt>
                <c:pt idx="9">
                  <c:v>-100</c:v>
                </c:pt>
                <c:pt idx="10">
                  <c:v>-125</c:v>
                </c:pt>
              </c:numCache>
            </c:numRef>
          </c:xVal>
          <c:yVal>
            <c:numRef>
              <c:f>'GodChild Gains'!$D$3:$D$13</c:f>
              <c:numCache>
                <c:formatCode>General</c:formatCode>
                <c:ptCount val="11"/>
                <c:pt idx="0">
                  <c:v>23</c:v>
                </c:pt>
                <c:pt idx="1">
                  <c:v>18</c:v>
                </c:pt>
                <c:pt idx="2">
                  <c:v>14</c:v>
                </c:pt>
                <c:pt idx="3">
                  <c:v>11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-2</c:v>
                </c:pt>
                <c:pt idx="8">
                  <c:v>-8</c:v>
                </c:pt>
                <c:pt idx="9">
                  <c:v>-12</c:v>
                </c:pt>
                <c:pt idx="10">
                  <c:v>-16</c:v>
                </c:pt>
              </c:numCache>
            </c:numRef>
          </c:yVal>
          <c:smooth val="1"/>
        </c:ser>
        <c:ser>
          <c:idx val="1"/>
          <c:order val="1"/>
          <c:tx>
            <c:v>Kp = 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4056203806261659"/>
                  <c:y val="0.170652585898669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'GodChild Gains'!$C$15:$C$25</c:f>
              <c:numCache>
                <c:formatCode>General</c:formatCode>
                <c:ptCount val="11"/>
                <c:pt idx="0">
                  <c:v>125</c:v>
                </c:pt>
                <c:pt idx="1">
                  <c:v>100</c:v>
                </c:pt>
                <c:pt idx="2">
                  <c:v>75</c:v>
                </c:pt>
                <c:pt idx="3">
                  <c:v>50</c:v>
                </c:pt>
                <c:pt idx="4">
                  <c:v>25</c:v>
                </c:pt>
                <c:pt idx="5">
                  <c:v>0</c:v>
                </c:pt>
                <c:pt idx="6">
                  <c:v>-25</c:v>
                </c:pt>
                <c:pt idx="7">
                  <c:v>-50</c:v>
                </c:pt>
                <c:pt idx="8">
                  <c:v>-75</c:v>
                </c:pt>
                <c:pt idx="9">
                  <c:v>-100</c:v>
                </c:pt>
                <c:pt idx="10">
                  <c:v>-125</c:v>
                </c:pt>
              </c:numCache>
            </c:numRef>
          </c:xVal>
          <c:yVal>
            <c:numRef>
              <c:f>'GodChild Gains'!$D$15:$D$25</c:f>
              <c:numCache>
                <c:formatCode>General</c:formatCode>
                <c:ptCount val="11"/>
                <c:pt idx="0">
                  <c:v>107</c:v>
                </c:pt>
                <c:pt idx="1">
                  <c:v>86</c:v>
                </c:pt>
                <c:pt idx="2">
                  <c:v>65</c:v>
                </c:pt>
                <c:pt idx="3">
                  <c:v>44</c:v>
                </c:pt>
                <c:pt idx="4">
                  <c:v>22</c:v>
                </c:pt>
                <c:pt idx="5">
                  <c:v>0</c:v>
                </c:pt>
                <c:pt idx="6">
                  <c:v>-15</c:v>
                </c:pt>
                <c:pt idx="7">
                  <c:v>-36</c:v>
                </c:pt>
                <c:pt idx="8">
                  <c:v>-58</c:v>
                </c:pt>
                <c:pt idx="9">
                  <c:v>-78</c:v>
                </c:pt>
                <c:pt idx="10">
                  <c:v>-98</c:v>
                </c:pt>
              </c:numCache>
            </c:numRef>
          </c:yVal>
          <c:smooth val="1"/>
        </c:ser>
        <c:ser>
          <c:idx val="2"/>
          <c:order val="2"/>
          <c:tx>
            <c:v>Kp = 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4056203806261659"/>
                  <c:y val="1.28027674581216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'GodChild Gains'!$C$27:$C$37</c:f>
              <c:numCache>
                <c:formatCode>General</c:formatCode>
                <c:ptCount val="11"/>
                <c:pt idx="0">
                  <c:v>125</c:v>
                </c:pt>
                <c:pt idx="1">
                  <c:v>100</c:v>
                </c:pt>
                <c:pt idx="2">
                  <c:v>75</c:v>
                </c:pt>
                <c:pt idx="3">
                  <c:v>50</c:v>
                </c:pt>
                <c:pt idx="4">
                  <c:v>25</c:v>
                </c:pt>
                <c:pt idx="5">
                  <c:v>0</c:v>
                </c:pt>
                <c:pt idx="6">
                  <c:v>-25</c:v>
                </c:pt>
                <c:pt idx="7">
                  <c:v>-50</c:v>
                </c:pt>
                <c:pt idx="8">
                  <c:v>-75</c:v>
                </c:pt>
                <c:pt idx="9">
                  <c:v>-100</c:v>
                </c:pt>
                <c:pt idx="10">
                  <c:v>-125</c:v>
                </c:pt>
              </c:numCache>
            </c:numRef>
          </c:xVal>
          <c:yVal>
            <c:numRef>
              <c:f>'GodChild Gains'!$D$27:$D$37</c:f>
              <c:numCache>
                <c:formatCode>General</c:formatCode>
                <c:ptCount val="11"/>
                <c:pt idx="0">
                  <c:v>65</c:v>
                </c:pt>
                <c:pt idx="1">
                  <c:v>52</c:v>
                </c:pt>
                <c:pt idx="2">
                  <c:v>40</c:v>
                </c:pt>
                <c:pt idx="3">
                  <c:v>27</c:v>
                </c:pt>
                <c:pt idx="4">
                  <c:v>14</c:v>
                </c:pt>
                <c:pt idx="5">
                  <c:v>0</c:v>
                </c:pt>
                <c:pt idx="6">
                  <c:v>-8</c:v>
                </c:pt>
                <c:pt idx="7">
                  <c:v>-20</c:v>
                </c:pt>
                <c:pt idx="8">
                  <c:v>-33</c:v>
                </c:pt>
                <c:pt idx="9">
                  <c:v>-45</c:v>
                </c:pt>
                <c:pt idx="10">
                  <c:v>-58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442304"/>
        <c:axId val="275442696"/>
      </c:scatterChart>
      <c:valAx>
        <c:axId val="275442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Reference Velocity (BDI/BTI)</a:t>
                </a:r>
                <a:endParaRPr lang="en-US" sz="1000">
                  <a:effectLst/>
                </a:endParaRPr>
              </a:p>
            </c:rich>
          </c:tx>
          <c:layout>
            <c:manualLayout>
              <c:xMode val="edge"/>
              <c:yMode val="edge"/>
              <c:x val="0.21801551448973291"/>
              <c:y val="0.922859611244358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442696"/>
        <c:crosses val="autoZero"/>
        <c:crossBetween val="midCat"/>
      </c:valAx>
      <c:valAx>
        <c:axId val="2754426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Actual</a:t>
                </a:r>
                <a:r>
                  <a:rPr lang="en-US" sz="1000" baseline="0"/>
                  <a:t> Velocity (BDI/BTI)</a:t>
                </a:r>
                <a:endParaRPr lang="en-US" sz="1000"/>
              </a:p>
            </c:rich>
          </c:tx>
          <c:layout>
            <c:manualLayout>
              <c:xMode val="edge"/>
              <c:yMode val="edge"/>
              <c:x val="2.5877186035182093E-2"/>
              <c:y val="0.35989896711367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442304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63807752917900851"/>
          <c:y val="0.30777332255076323"/>
          <c:w val="0.12883192404320939"/>
          <c:h val="0.164434705348881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Kp=5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5092082239720034E-2"/>
                  <c:y val="-7.36220472440945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'GodChild Gains'!$C$15:$C$25</c:f>
              <c:numCache>
                <c:formatCode>General</c:formatCode>
                <c:ptCount val="11"/>
                <c:pt idx="0">
                  <c:v>125</c:v>
                </c:pt>
                <c:pt idx="1">
                  <c:v>100</c:v>
                </c:pt>
                <c:pt idx="2">
                  <c:v>75</c:v>
                </c:pt>
                <c:pt idx="3">
                  <c:v>50</c:v>
                </c:pt>
                <c:pt idx="4">
                  <c:v>25</c:v>
                </c:pt>
                <c:pt idx="5">
                  <c:v>0</c:v>
                </c:pt>
                <c:pt idx="6">
                  <c:v>-25</c:v>
                </c:pt>
                <c:pt idx="7">
                  <c:v>-50</c:v>
                </c:pt>
                <c:pt idx="8">
                  <c:v>-75</c:v>
                </c:pt>
                <c:pt idx="9">
                  <c:v>-100</c:v>
                </c:pt>
                <c:pt idx="10">
                  <c:v>-125</c:v>
                </c:pt>
              </c:numCache>
            </c:numRef>
          </c:xVal>
          <c:yVal>
            <c:numRef>
              <c:f>'GodChild Gains'!$D$15:$D$25</c:f>
              <c:numCache>
                <c:formatCode>General</c:formatCode>
                <c:ptCount val="11"/>
                <c:pt idx="0">
                  <c:v>107</c:v>
                </c:pt>
                <c:pt idx="1">
                  <c:v>86</c:v>
                </c:pt>
                <c:pt idx="2">
                  <c:v>65</c:v>
                </c:pt>
                <c:pt idx="3">
                  <c:v>44</c:v>
                </c:pt>
                <c:pt idx="4">
                  <c:v>22</c:v>
                </c:pt>
                <c:pt idx="5">
                  <c:v>0</c:v>
                </c:pt>
                <c:pt idx="6">
                  <c:v>-15</c:v>
                </c:pt>
                <c:pt idx="7">
                  <c:v>-36</c:v>
                </c:pt>
                <c:pt idx="8">
                  <c:v>-58</c:v>
                </c:pt>
                <c:pt idx="9">
                  <c:v>-78</c:v>
                </c:pt>
                <c:pt idx="10">
                  <c:v>-98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443480"/>
        <c:axId val="275443872"/>
      </c:scatterChart>
      <c:valAx>
        <c:axId val="275443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443872"/>
        <c:crosses val="autoZero"/>
        <c:crossBetween val="midCat"/>
      </c:valAx>
      <c:valAx>
        <c:axId val="27544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443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Kp=3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'GodChild Gains'!$C$27:$C$37</c:f>
              <c:numCache>
                <c:formatCode>General</c:formatCode>
                <c:ptCount val="11"/>
                <c:pt idx="0">
                  <c:v>125</c:v>
                </c:pt>
                <c:pt idx="1">
                  <c:v>100</c:v>
                </c:pt>
                <c:pt idx="2">
                  <c:v>75</c:v>
                </c:pt>
                <c:pt idx="3">
                  <c:v>50</c:v>
                </c:pt>
                <c:pt idx="4">
                  <c:v>25</c:v>
                </c:pt>
                <c:pt idx="5">
                  <c:v>0</c:v>
                </c:pt>
                <c:pt idx="6">
                  <c:v>-25</c:v>
                </c:pt>
                <c:pt idx="7">
                  <c:v>-50</c:v>
                </c:pt>
                <c:pt idx="8">
                  <c:v>-75</c:v>
                </c:pt>
                <c:pt idx="9">
                  <c:v>-100</c:v>
                </c:pt>
                <c:pt idx="10">
                  <c:v>-125</c:v>
                </c:pt>
              </c:numCache>
            </c:numRef>
          </c:xVal>
          <c:yVal>
            <c:numRef>
              <c:f>'GodChild Gains'!$D$27:$D$37</c:f>
              <c:numCache>
                <c:formatCode>General</c:formatCode>
                <c:ptCount val="11"/>
                <c:pt idx="0">
                  <c:v>65</c:v>
                </c:pt>
                <c:pt idx="1">
                  <c:v>52</c:v>
                </c:pt>
                <c:pt idx="2">
                  <c:v>40</c:v>
                </c:pt>
                <c:pt idx="3">
                  <c:v>27</c:v>
                </c:pt>
                <c:pt idx="4">
                  <c:v>14</c:v>
                </c:pt>
                <c:pt idx="5">
                  <c:v>0</c:v>
                </c:pt>
                <c:pt idx="6">
                  <c:v>-8</c:v>
                </c:pt>
                <c:pt idx="7">
                  <c:v>-20</c:v>
                </c:pt>
                <c:pt idx="8">
                  <c:v>-33</c:v>
                </c:pt>
                <c:pt idx="9">
                  <c:v>-45</c:v>
                </c:pt>
                <c:pt idx="10">
                  <c:v>-58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444656"/>
        <c:axId val="275445048"/>
      </c:scatterChart>
      <c:valAx>
        <c:axId val="27544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445048"/>
        <c:crosses val="autoZero"/>
        <c:crossBetween val="midCat"/>
      </c:valAx>
      <c:valAx>
        <c:axId val="275445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444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442912</xdr:colOff>
      <xdr:row>2</xdr:row>
      <xdr:rowOff>166686</xdr:rowOff>
    </xdr:from>
    <xdr:to>
      <xdr:col>13</xdr:col>
      <xdr:colOff>133350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519112</xdr:colOff>
      <xdr:row>25</xdr:row>
      <xdr:rowOff>176212</xdr:rowOff>
    </xdr:from>
    <xdr:to>
      <xdr:col>13</xdr:col>
      <xdr:colOff>214312</xdr:colOff>
      <xdr:row>40</xdr:row>
      <xdr:rowOff>61912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595312</xdr:colOff>
      <xdr:row>25</xdr:row>
      <xdr:rowOff>176212</xdr:rowOff>
    </xdr:from>
    <xdr:to>
      <xdr:col>21</xdr:col>
      <xdr:colOff>290512</xdr:colOff>
      <xdr:row>40</xdr:row>
      <xdr:rowOff>61912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7"/>
  <sheetViews>
    <sheetView workbookViewId="0">
      <selection activeCell="P23" sqref="P23"/>
    </sheetView>
  </sheetViews>
  <sheetFormatPr defaultRowHeight="15" x14ac:dyDescent="0.25"/>
  <sheetData>
    <row r="2" spans="2:4" x14ac:dyDescent="0.25">
      <c r="C2" t="s">
        <v>0</v>
      </c>
      <c r="D2" t="s">
        <v>1</v>
      </c>
    </row>
    <row r="3" spans="2:4" x14ac:dyDescent="0.25">
      <c r="B3" t="s">
        <v>3</v>
      </c>
      <c r="C3">
        <v>125</v>
      </c>
      <c r="D3">
        <v>23</v>
      </c>
    </row>
    <row r="4" spans="2:4" x14ac:dyDescent="0.25">
      <c r="B4" t="s">
        <v>6</v>
      </c>
      <c r="C4">
        <v>100</v>
      </c>
      <c r="D4">
        <v>18</v>
      </c>
    </row>
    <row r="5" spans="2:4" x14ac:dyDescent="0.25">
      <c r="B5">
        <f>0.1502/(0.637*1*9.6*0.00244)</f>
        <v>10.066290072144874</v>
      </c>
      <c r="C5">
        <v>75</v>
      </c>
      <c r="D5">
        <v>14</v>
      </c>
    </row>
    <row r="6" spans="2:4" x14ac:dyDescent="0.25">
      <c r="C6">
        <v>50</v>
      </c>
      <c r="D6">
        <v>11</v>
      </c>
    </row>
    <row r="7" spans="2:4" x14ac:dyDescent="0.25">
      <c r="C7">
        <v>25</v>
      </c>
      <c r="D7">
        <v>6</v>
      </c>
    </row>
    <row r="8" spans="2:4" x14ac:dyDescent="0.25">
      <c r="C8">
        <v>0</v>
      </c>
      <c r="D8">
        <v>0</v>
      </c>
    </row>
    <row r="9" spans="2:4" x14ac:dyDescent="0.25">
      <c r="C9">
        <v>-25</v>
      </c>
      <c r="D9">
        <v>0</v>
      </c>
    </row>
    <row r="10" spans="2:4" x14ac:dyDescent="0.25">
      <c r="C10">
        <v>-50</v>
      </c>
      <c r="D10">
        <v>-2</v>
      </c>
    </row>
    <row r="11" spans="2:4" x14ac:dyDescent="0.25">
      <c r="C11">
        <v>-75</v>
      </c>
      <c r="D11">
        <v>-8</v>
      </c>
    </row>
    <row r="12" spans="2:4" x14ac:dyDescent="0.25">
      <c r="C12">
        <v>-100</v>
      </c>
      <c r="D12">
        <v>-12</v>
      </c>
    </row>
    <row r="13" spans="2:4" x14ac:dyDescent="0.25">
      <c r="C13">
        <v>-125</v>
      </c>
      <c r="D13">
        <v>-16</v>
      </c>
    </row>
    <row r="15" spans="2:4" x14ac:dyDescent="0.25">
      <c r="B15" t="s">
        <v>4</v>
      </c>
      <c r="C15">
        <v>125</v>
      </c>
      <c r="D15">
        <v>107</v>
      </c>
    </row>
    <row r="16" spans="2:4" x14ac:dyDescent="0.25">
      <c r="B16" t="s">
        <v>6</v>
      </c>
      <c r="C16">
        <v>100</v>
      </c>
      <c r="D16">
        <v>86</v>
      </c>
    </row>
    <row r="17" spans="2:4" x14ac:dyDescent="0.25">
      <c r="B17">
        <f>0.8171/(0.637*5*9.6*0.00244)</f>
        <v>10.952284444673205</v>
      </c>
      <c r="C17">
        <v>75</v>
      </c>
      <c r="D17">
        <v>65</v>
      </c>
    </row>
    <row r="18" spans="2:4" x14ac:dyDescent="0.25">
      <c r="C18">
        <v>50</v>
      </c>
      <c r="D18">
        <v>44</v>
      </c>
    </row>
    <row r="19" spans="2:4" x14ac:dyDescent="0.25">
      <c r="C19">
        <v>25</v>
      </c>
      <c r="D19">
        <v>22</v>
      </c>
    </row>
    <row r="20" spans="2:4" x14ac:dyDescent="0.25">
      <c r="C20">
        <v>0</v>
      </c>
      <c r="D20">
        <v>0</v>
      </c>
    </row>
    <row r="21" spans="2:4" x14ac:dyDescent="0.25">
      <c r="C21">
        <v>-25</v>
      </c>
      <c r="D21">
        <v>-15</v>
      </c>
    </row>
    <row r="22" spans="2:4" x14ac:dyDescent="0.25">
      <c r="C22">
        <v>-50</v>
      </c>
      <c r="D22">
        <v>-36</v>
      </c>
    </row>
    <row r="23" spans="2:4" x14ac:dyDescent="0.25">
      <c r="C23">
        <v>-75</v>
      </c>
      <c r="D23">
        <v>-58</v>
      </c>
    </row>
    <row r="24" spans="2:4" x14ac:dyDescent="0.25">
      <c r="C24">
        <v>-100</v>
      </c>
      <c r="D24">
        <v>-78</v>
      </c>
    </row>
    <row r="25" spans="2:4" x14ac:dyDescent="0.25">
      <c r="C25">
        <v>-125</v>
      </c>
      <c r="D25">
        <v>-98</v>
      </c>
    </row>
    <row r="27" spans="2:4" x14ac:dyDescent="0.25">
      <c r="B27" t="s">
        <v>2</v>
      </c>
      <c r="C27">
        <v>125</v>
      </c>
      <c r="D27">
        <v>65</v>
      </c>
    </row>
    <row r="28" spans="2:4" x14ac:dyDescent="0.25">
      <c r="B28" t="s">
        <v>5</v>
      </c>
      <c r="C28">
        <v>100</v>
      </c>
      <c r="D28">
        <v>52</v>
      </c>
    </row>
    <row r="29" spans="2:4" x14ac:dyDescent="0.25">
      <c r="B29">
        <f>0.4865/(0.637*3*9.6*0.00244)</f>
        <v>10.868286995336174</v>
      </c>
      <c r="C29">
        <v>75</v>
      </c>
      <c r="D29">
        <v>40</v>
      </c>
    </row>
    <row r="30" spans="2:4" x14ac:dyDescent="0.25">
      <c r="C30">
        <v>50</v>
      </c>
      <c r="D30">
        <v>27</v>
      </c>
    </row>
    <row r="31" spans="2:4" x14ac:dyDescent="0.25">
      <c r="C31">
        <v>25</v>
      </c>
      <c r="D31">
        <v>14</v>
      </c>
    </row>
    <row r="32" spans="2:4" x14ac:dyDescent="0.25">
      <c r="C32">
        <v>0</v>
      </c>
      <c r="D32">
        <v>0</v>
      </c>
    </row>
    <row r="33" spans="2:4" x14ac:dyDescent="0.25">
      <c r="B33">
        <f>AVERAGE(B29,B17,B5)</f>
        <v>10.628953837384751</v>
      </c>
      <c r="C33">
        <v>-25</v>
      </c>
      <c r="D33">
        <v>-8</v>
      </c>
    </row>
    <row r="34" spans="2:4" x14ac:dyDescent="0.25">
      <c r="C34">
        <v>-50</v>
      </c>
      <c r="D34">
        <v>-20</v>
      </c>
    </row>
    <row r="35" spans="2:4" x14ac:dyDescent="0.25">
      <c r="C35">
        <v>-75</v>
      </c>
      <c r="D35">
        <v>-33</v>
      </c>
    </row>
    <row r="36" spans="2:4" x14ac:dyDescent="0.25">
      <c r="C36">
        <v>-100</v>
      </c>
      <c r="D36">
        <v>-45</v>
      </c>
    </row>
    <row r="37" spans="2:4" x14ac:dyDescent="0.25">
      <c r="C37">
        <v>-125</v>
      </c>
      <c r="D37">
        <v>-58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activeCell="G30" sqref="G30"/>
    </sheetView>
  </sheetViews>
  <sheetFormatPr defaultRowHeight="15" x14ac:dyDescent="0.25"/>
  <cols>
    <col min="1" max="1" width="9.140625" style="1"/>
    <col min="2" max="2" width="11" style="1" customWidth="1"/>
    <col min="3" max="3" width="11.5703125" style="1" customWidth="1"/>
    <col min="4" max="4" width="9.140625" style="1"/>
    <col min="5" max="5" width="11.5703125" style="1" customWidth="1"/>
    <col min="6" max="6" width="10.42578125" style="1" customWidth="1"/>
    <col min="7" max="7" width="9.140625" style="1"/>
    <col min="8" max="8" width="11.42578125" style="1" customWidth="1"/>
    <col min="9" max="9" width="10.140625" style="1" customWidth="1"/>
    <col min="10" max="16384" width="9.140625" style="1"/>
  </cols>
  <sheetData>
    <row r="1" spans="1:9" ht="60" x14ac:dyDescent="0.25">
      <c r="A1" s="3" t="s">
        <v>9</v>
      </c>
      <c r="B1" s="4" t="s">
        <v>7</v>
      </c>
      <c r="C1" s="4" t="s">
        <v>8</v>
      </c>
      <c r="D1" s="3" t="s">
        <v>9</v>
      </c>
      <c r="E1" s="4" t="s">
        <v>7</v>
      </c>
      <c r="F1" s="4" t="s">
        <v>8</v>
      </c>
      <c r="G1" s="3" t="s">
        <v>9</v>
      </c>
      <c r="H1" s="4" t="s">
        <v>7</v>
      </c>
      <c r="I1" s="4" t="s">
        <v>8</v>
      </c>
    </row>
    <row r="2" spans="1:9" x14ac:dyDescent="0.25">
      <c r="A2" s="5">
        <v>1</v>
      </c>
      <c r="B2" s="2">
        <v>125</v>
      </c>
      <c r="C2" s="2">
        <v>23</v>
      </c>
      <c r="D2" s="5">
        <v>3</v>
      </c>
      <c r="E2" s="2">
        <v>125</v>
      </c>
      <c r="F2" s="2">
        <v>107</v>
      </c>
      <c r="G2" s="5">
        <v>5</v>
      </c>
      <c r="H2" s="2">
        <v>125</v>
      </c>
      <c r="I2" s="2">
        <v>65</v>
      </c>
    </row>
    <row r="3" spans="1:9" x14ac:dyDescent="0.25">
      <c r="A3" s="5"/>
      <c r="B3" s="2">
        <v>100</v>
      </c>
      <c r="C3" s="2">
        <v>18</v>
      </c>
      <c r="D3" s="5"/>
      <c r="E3" s="2">
        <v>100</v>
      </c>
      <c r="F3" s="2">
        <v>86</v>
      </c>
      <c r="G3" s="5"/>
      <c r="H3" s="2">
        <v>100</v>
      </c>
      <c r="I3" s="2">
        <v>52</v>
      </c>
    </row>
    <row r="4" spans="1:9" x14ac:dyDescent="0.25">
      <c r="A4" s="5"/>
      <c r="B4" s="2">
        <v>75</v>
      </c>
      <c r="C4" s="2">
        <v>14</v>
      </c>
      <c r="D4" s="5"/>
      <c r="E4" s="2">
        <v>75</v>
      </c>
      <c r="F4" s="2">
        <v>65</v>
      </c>
      <c r="G4" s="5"/>
      <c r="H4" s="2">
        <v>75</v>
      </c>
      <c r="I4" s="2">
        <v>40</v>
      </c>
    </row>
    <row r="5" spans="1:9" x14ac:dyDescent="0.25">
      <c r="A5" s="5"/>
      <c r="B5" s="2">
        <v>50</v>
      </c>
      <c r="C5" s="2">
        <v>11</v>
      </c>
      <c r="D5" s="5"/>
      <c r="E5" s="2">
        <v>50</v>
      </c>
      <c r="F5" s="2">
        <v>44</v>
      </c>
      <c r="G5" s="5"/>
      <c r="H5" s="2">
        <v>50</v>
      </c>
      <c r="I5" s="2">
        <v>27</v>
      </c>
    </row>
    <row r="6" spans="1:9" x14ac:dyDescent="0.25">
      <c r="A6" s="5"/>
      <c r="B6" s="2">
        <v>25</v>
      </c>
      <c r="C6" s="2">
        <v>6</v>
      </c>
      <c r="D6" s="5"/>
      <c r="E6" s="2">
        <v>25</v>
      </c>
      <c r="F6" s="2">
        <v>22</v>
      </c>
      <c r="G6" s="5"/>
      <c r="H6" s="2">
        <v>25</v>
      </c>
      <c r="I6" s="2">
        <v>14</v>
      </c>
    </row>
    <row r="7" spans="1:9" x14ac:dyDescent="0.25">
      <c r="A7" s="5"/>
      <c r="B7" s="2">
        <v>0</v>
      </c>
      <c r="C7" s="2">
        <v>0</v>
      </c>
      <c r="D7" s="5"/>
      <c r="E7" s="2">
        <v>0</v>
      </c>
      <c r="F7" s="2">
        <v>0</v>
      </c>
      <c r="G7" s="5"/>
      <c r="H7" s="2">
        <v>0</v>
      </c>
      <c r="I7" s="2">
        <v>0</v>
      </c>
    </row>
    <row r="8" spans="1:9" x14ac:dyDescent="0.25">
      <c r="A8" s="5"/>
      <c r="B8" s="2">
        <v>-25</v>
      </c>
      <c r="C8" s="2">
        <v>0</v>
      </c>
      <c r="D8" s="5"/>
      <c r="E8" s="2">
        <v>-25</v>
      </c>
      <c r="F8" s="2">
        <v>-15</v>
      </c>
      <c r="G8" s="5"/>
      <c r="H8" s="2">
        <v>-25</v>
      </c>
      <c r="I8" s="2">
        <v>-8</v>
      </c>
    </row>
    <row r="9" spans="1:9" x14ac:dyDescent="0.25">
      <c r="A9" s="5"/>
      <c r="B9" s="2">
        <v>-50</v>
      </c>
      <c r="C9" s="2">
        <v>-2</v>
      </c>
      <c r="D9" s="5"/>
      <c r="E9" s="2">
        <v>-50</v>
      </c>
      <c r="F9" s="2">
        <v>-36</v>
      </c>
      <c r="G9" s="5"/>
      <c r="H9" s="2">
        <v>-50</v>
      </c>
      <c r="I9" s="2">
        <v>-20</v>
      </c>
    </row>
    <row r="10" spans="1:9" x14ac:dyDescent="0.25">
      <c r="A10" s="5"/>
      <c r="B10" s="2">
        <v>-75</v>
      </c>
      <c r="C10" s="2">
        <v>-8</v>
      </c>
      <c r="D10" s="5"/>
      <c r="E10" s="2">
        <v>-75</v>
      </c>
      <c r="F10" s="2">
        <v>-58</v>
      </c>
      <c r="G10" s="5"/>
      <c r="H10" s="2">
        <v>-75</v>
      </c>
      <c r="I10" s="2">
        <v>-33</v>
      </c>
    </row>
    <row r="11" spans="1:9" x14ac:dyDescent="0.25">
      <c r="A11" s="5"/>
      <c r="B11" s="2">
        <v>-100</v>
      </c>
      <c r="C11" s="2">
        <v>-12</v>
      </c>
      <c r="D11" s="5"/>
      <c r="E11" s="2">
        <v>-100</v>
      </c>
      <c r="F11" s="2">
        <v>-78</v>
      </c>
      <c r="G11" s="5"/>
      <c r="H11" s="2">
        <v>-100</v>
      </c>
      <c r="I11" s="2">
        <v>-45</v>
      </c>
    </row>
    <row r="12" spans="1:9" x14ac:dyDescent="0.25">
      <c r="A12" s="5"/>
      <c r="B12" s="2">
        <v>-125</v>
      </c>
      <c r="C12" s="2">
        <v>-16</v>
      </c>
      <c r="D12" s="5"/>
      <c r="E12" s="2">
        <v>-125</v>
      </c>
      <c r="F12" s="2">
        <v>-98</v>
      </c>
      <c r="G12" s="5"/>
      <c r="H12" s="2">
        <v>-125</v>
      </c>
      <c r="I12" s="2">
        <v>-58</v>
      </c>
    </row>
    <row r="14" spans="1:9" ht="60" x14ac:dyDescent="0.25">
      <c r="A14" s="3" t="s">
        <v>9</v>
      </c>
      <c r="B14" s="4" t="s">
        <v>7</v>
      </c>
      <c r="C14" s="4" t="s">
        <v>8</v>
      </c>
      <c r="D14" s="3" t="s">
        <v>9</v>
      </c>
      <c r="E14" s="4" t="s">
        <v>7</v>
      </c>
      <c r="F14" s="4" t="s">
        <v>8</v>
      </c>
      <c r="G14" s="3" t="s">
        <v>9</v>
      </c>
      <c r="H14" s="4" t="s">
        <v>7</v>
      </c>
      <c r="I14" s="4" t="s">
        <v>8</v>
      </c>
    </row>
    <row r="15" spans="1:9" x14ac:dyDescent="0.25">
      <c r="A15" s="5">
        <v>1</v>
      </c>
      <c r="B15" s="2">
        <v>125</v>
      </c>
      <c r="C15" s="2">
        <v>-13</v>
      </c>
      <c r="D15" s="5">
        <v>3</v>
      </c>
      <c r="E15" s="2">
        <v>125</v>
      </c>
      <c r="F15" s="2">
        <v>-38</v>
      </c>
      <c r="G15" s="5">
        <v>5</v>
      </c>
      <c r="H15" s="2">
        <v>125</v>
      </c>
      <c r="I15" s="2">
        <v>-54</v>
      </c>
    </row>
    <row r="16" spans="1:9" x14ac:dyDescent="0.25">
      <c r="A16" s="5"/>
      <c r="B16" s="2">
        <v>100</v>
      </c>
      <c r="C16" s="2">
        <v>-10</v>
      </c>
      <c r="D16" s="5"/>
      <c r="E16" s="2">
        <v>100</v>
      </c>
      <c r="F16" s="2">
        <v>-30</v>
      </c>
      <c r="G16" s="5"/>
      <c r="H16" s="2">
        <v>100</v>
      </c>
      <c r="I16" s="2">
        <v>-42</v>
      </c>
    </row>
    <row r="17" spans="1:9" x14ac:dyDescent="0.25">
      <c r="A17" s="5"/>
      <c r="B17" s="2">
        <v>75</v>
      </c>
      <c r="C17" s="2">
        <v>-6</v>
      </c>
      <c r="D17" s="5"/>
      <c r="E17" s="2">
        <v>75</v>
      </c>
      <c r="F17" s="2">
        <v>-21</v>
      </c>
      <c r="G17" s="5"/>
      <c r="H17" s="2">
        <v>75</v>
      </c>
      <c r="I17" s="2">
        <v>-31</v>
      </c>
    </row>
    <row r="18" spans="1:9" x14ac:dyDescent="0.25">
      <c r="A18" s="5"/>
      <c r="B18" s="2">
        <v>50</v>
      </c>
      <c r="C18" s="2">
        <v>0</v>
      </c>
      <c r="D18" s="5"/>
      <c r="E18" s="2">
        <v>50</v>
      </c>
      <c r="F18" s="2">
        <v>-13</v>
      </c>
      <c r="G18" s="5"/>
      <c r="H18" s="2">
        <v>50</v>
      </c>
      <c r="I18" s="2">
        <v>-20</v>
      </c>
    </row>
    <row r="19" spans="1:9" x14ac:dyDescent="0.25">
      <c r="A19" s="5"/>
      <c r="B19" s="2">
        <v>25</v>
      </c>
      <c r="C19" s="2">
        <v>0</v>
      </c>
      <c r="D19" s="5"/>
      <c r="E19" s="2">
        <v>25</v>
      </c>
      <c r="F19" s="2">
        <v>-5</v>
      </c>
      <c r="G19" s="5"/>
      <c r="H19" s="2">
        <v>25</v>
      </c>
      <c r="I19" s="2">
        <v>-8</v>
      </c>
    </row>
    <row r="20" spans="1:9" x14ac:dyDescent="0.25">
      <c r="A20" s="5"/>
      <c r="B20" s="2">
        <v>0</v>
      </c>
      <c r="C20" s="2">
        <v>0</v>
      </c>
      <c r="D20" s="5"/>
      <c r="E20" s="2">
        <v>0</v>
      </c>
      <c r="F20" s="2">
        <v>0</v>
      </c>
      <c r="G20" s="5"/>
      <c r="H20" s="2">
        <v>0</v>
      </c>
      <c r="I20" s="2">
        <v>0</v>
      </c>
    </row>
    <row r="21" spans="1:9" x14ac:dyDescent="0.25">
      <c r="A21" s="5"/>
      <c r="B21" s="2">
        <v>-25</v>
      </c>
      <c r="C21" s="2">
        <v>5</v>
      </c>
      <c r="D21" s="5"/>
      <c r="E21" s="2">
        <v>-25</v>
      </c>
      <c r="F21" s="2">
        <v>9</v>
      </c>
      <c r="G21" s="5"/>
      <c r="H21" s="2">
        <v>-25</v>
      </c>
      <c r="I21" s="2">
        <v>12</v>
      </c>
    </row>
    <row r="22" spans="1:9" x14ac:dyDescent="0.25">
      <c r="A22" s="5"/>
      <c r="B22" s="2">
        <v>-50</v>
      </c>
      <c r="C22" s="2">
        <v>9</v>
      </c>
      <c r="D22" s="5"/>
      <c r="E22" s="2">
        <v>-50</v>
      </c>
      <c r="F22" s="2">
        <v>18</v>
      </c>
      <c r="G22" s="5"/>
      <c r="H22" s="2">
        <v>-50</v>
      </c>
      <c r="I22" s="2">
        <v>23</v>
      </c>
    </row>
    <row r="23" spans="1:9" x14ac:dyDescent="0.25">
      <c r="A23" s="5"/>
      <c r="B23" s="2">
        <v>-75</v>
      </c>
      <c r="C23" s="2">
        <v>12</v>
      </c>
      <c r="D23" s="5"/>
      <c r="E23" s="2">
        <v>-75</v>
      </c>
      <c r="F23" s="2">
        <v>26</v>
      </c>
      <c r="G23" s="5"/>
      <c r="H23" s="2">
        <v>-75</v>
      </c>
      <c r="I23" s="2">
        <v>35</v>
      </c>
    </row>
    <row r="24" spans="1:9" x14ac:dyDescent="0.25">
      <c r="A24" s="5"/>
      <c r="B24" s="2">
        <v>-100</v>
      </c>
      <c r="C24" s="2">
        <v>16</v>
      </c>
      <c r="D24" s="5"/>
      <c r="E24" s="2">
        <v>-100</v>
      </c>
      <c r="F24" s="2">
        <v>34</v>
      </c>
      <c r="G24" s="5"/>
      <c r="H24" s="2">
        <v>-100</v>
      </c>
      <c r="I24" s="2">
        <v>46</v>
      </c>
    </row>
    <row r="25" spans="1:9" x14ac:dyDescent="0.25">
      <c r="A25" s="5"/>
      <c r="B25" s="2">
        <v>-125</v>
      </c>
      <c r="C25" s="2">
        <v>19</v>
      </c>
      <c r="D25" s="5"/>
      <c r="E25" s="2">
        <v>-125</v>
      </c>
      <c r="F25" s="2">
        <v>43</v>
      </c>
      <c r="G25" s="5"/>
      <c r="H25" s="2">
        <v>-125</v>
      </c>
      <c r="I25" s="2">
        <v>58</v>
      </c>
    </row>
  </sheetData>
  <mergeCells count="6">
    <mergeCell ref="A2:A12"/>
    <mergeCell ref="D2:D12"/>
    <mergeCell ref="G2:G12"/>
    <mergeCell ref="A15:A25"/>
    <mergeCell ref="D15:D25"/>
    <mergeCell ref="G15:G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GodChild Gains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melab15</dc:creator>
  <cp:lastModifiedBy>melab15</cp:lastModifiedBy>
  <dcterms:created xsi:type="dcterms:W3CDTF">2015-12-03T23:30:31Z</dcterms:created>
  <dcterms:modified xsi:type="dcterms:W3CDTF">2015-12-05T20:24:47Z</dcterms:modified>
</cp:coreProperties>
</file>
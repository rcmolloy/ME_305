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Excel Files\"/>
    </mc:Choice>
  </mc:AlternateContent>
  <bookViews>
    <workbookView xWindow="0" yWindow="0" windowWidth="11490" windowHeight="4650" activeTab="1"/>
  </bookViews>
  <sheets>
    <sheet name="Chart1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1" l="1"/>
  <c r="F27" i="1"/>
  <c r="F15" i="1"/>
  <c r="G4" i="1"/>
</calcChain>
</file>

<file path=xl/sharedStrings.xml><?xml version="1.0" encoding="utf-8"?>
<sst xmlns="http://schemas.openxmlformats.org/spreadsheetml/2006/main" count="10" uniqueCount="9">
  <si>
    <t>vref</t>
  </si>
  <si>
    <t>Vact</t>
  </si>
  <si>
    <t>kp=5</t>
  </si>
  <si>
    <t>ki=0</t>
  </si>
  <si>
    <t>Kp=3</t>
  </si>
  <si>
    <t>Kp=1</t>
  </si>
  <si>
    <t>ki=1</t>
  </si>
  <si>
    <t>slope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</si>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</sst>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</a:t>
            </a:r>
            <a:r>
              <a:rPr lang="en-US" baseline="0"/>
              <a:t> Velocity vs. Actual Velocity - Closed Loop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Kp=5,Ki=0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311516958456647"/>
                  <c:y val="0.5691597075870797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Sheet1!$C$3:$C$13</c:f>
              <c:numCache>
                <c:formatCode>General</c:formatCode>
                <c:ptCount val="11"/>
                <c:pt idx="0">
                  <c:v>-125</c:v>
                </c:pt>
                <c:pt idx="1">
                  <c:v>-100</c:v>
                </c:pt>
                <c:pt idx="2">
                  <c:v>-75</c:v>
                </c:pt>
                <c:pt idx="3">
                  <c:v>-50</c:v>
                </c:pt>
                <c:pt idx="4">
                  <c:v>-25</c:v>
                </c:pt>
                <c:pt idx="5">
                  <c:v>0</c:v>
                </c:pt>
                <c:pt idx="6">
                  <c:v>25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125</c:v>
                </c:pt>
              </c:numCache>
            </c:numRef>
          </c:xVal>
          <c:yVal>
            <c:numRef>
              <c:f>Sheet1!$D$3:$D$13</c:f>
              <c:numCache>
                <c:formatCode>General</c:formatCode>
                <c:ptCount val="11"/>
                <c:pt idx="0">
                  <c:v>-54</c:v>
                </c:pt>
                <c:pt idx="1">
                  <c:v>-42</c:v>
                </c:pt>
                <c:pt idx="2">
                  <c:v>-31</c:v>
                </c:pt>
                <c:pt idx="3">
                  <c:v>-20</c:v>
                </c:pt>
                <c:pt idx="4">
                  <c:v>-8</c:v>
                </c:pt>
                <c:pt idx="5">
                  <c:v>0</c:v>
                </c:pt>
                <c:pt idx="6">
                  <c:v>12</c:v>
                </c:pt>
                <c:pt idx="7">
                  <c:v>23</c:v>
                </c:pt>
                <c:pt idx="8">
                  <c:v>35</c:v>
                </c:pt>
                <c:pt idx="9">
                  <c:v>46</c:v>
                </c:pt>
                <c:pt idx="10">
                  <c:v>58</c:v>
                </c:pt>
              </c:numCache>
            </c:numRef>
          </c:yVal>
          <c:smooth val="1"/>
        </c:ser>
        <c:ser>
          <c:idx val="1"/>
          <c:order val="1"/>
          <c:tx>
            <c:v>Kp=3,Ki=0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165209156794731"/>
                  <c:y val="0.497816604962598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Sheet1!$C$15:$C$25</c:f>
              <c:numCache>
                <c:formatCode>General</c:formatCode>
                <c:ptCount val="11"/>
                <c:pt idx="0">
                  <c:v>-125</c:v>
                </c:pt>
                <c:pt idx="1">
                  <c:v>-100</c:v>
                </c:pt>
                <c:pt idx="2">
                  <c:v>-75</c:v>
                </c:pt>
                <c:pt idx="3">
                  <c:v>-50</c:v>
                </c:pt>
                <c:pt idx="4">
                  <c:v>-25</c:v>
                </c:pt>
                <c:pt idx="5">
                  <c:v>0</c:v>
                </c:pt>
                <c:pt idx="6">
                  <c:v>25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  <c:pt idx="10">
                  <c:v>125</c:v>
                </c:pt>
              </c:numCache>
            </c:numRef>
          </c:xVal>
          <c:yVal>
            <c:numRef>
              <c:f>Sheet1!$D$15:$D$25</c:f>
              <c:numCache>
                <c:formatCode>General</c:formatCode>
                <c:ptCount val="11"/>
                <c:pt idx="0">
                  <c:v>-38</c:v>
                </c:pt>
                <c:pt idx="1">
                  <c:v>-30</c:v>
                </c:pt>
                <c:pt idx="2">
                  <c:v>-21</c:v>
                </c:pt>
                <c:pt idx="3">
                  <c:v>-13</c:v>
                </c:pt>
                <c:pt idx="4">
                  <c:v>-5</c:v>
                </c:pt>
                <c:pt idx="5">
                  <c:v>0</c:v>
                </c:pt>
                <c:pt idx="6">
                  <c:v>9</c:v>
                </c:pt>
                <c:pt idx="7">
                  <c:v>18</c:v>
                </c:pt>
                <c:pt idx="8">
                  <c:v>26</c:v>
                </c:pt>
                <c:pt idx="9">
                  <c:v>34</c:v>
                </c:pt>
                <c:pt idx="10">
                  <c:v>43</c:v>
                </c:pt>
              </c:numCache>
            </c:numRef>
          </c:yVal>
          <c:smooth val="1"/>
        </c:ser>
        <c:ser>
          <c:idx val="2"/>
          <c:order val="2"/>
          <c:tx>
            <c:v>Kp=1,Ki=0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7913293619021395"/>
                  <c:y val="0.35414832374930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Sheet1!$C$27:$C$36</c:f>
              <c:numCache>
                <c:formatCode>General</c:formatCode>
                <c:ptCount val="10"/>
                <c:pt idx="0">
                  <c:v>-125</c:v>
                </c:pt>
                <c:pt idx="1">
                  <c:v>-100</c:v>
                </c:pt>
                <c:pt idx="2">
                  <c:v>-75</c:v>
                </c:pt>
                <c:pt idx="3">
                  <c:v>-50</c:v>
                </c:pt>
                <c:pt idx="4">
                  <c:v>-25</c:v>
                </c:pt>
                <c:pt idx="5">
                  <c:v>0</c:v>
                </c:pt>
                <c:pt idx="6">
                  <c:v>25</c:v>
                </c:pt>
                <c:pt idx="7">
                  <c:v>50</c:v>
                </c:pt>
                <c:pt idx="8">
                  <c:v>75</c:v>
                </c:pt>
                <c:pt idx="9">
                  <c:v>100</c:v>
                </c:pt>
              </c:numCache>
            </c:numRef>
          </c:xVal>
          <c:yVal>
            <c:numRef>
              <c:f>Sheet1!$D$27:$D$36</c:f>
              <c:numCache>
                <c:formatCode>General</c:formatCode>
                <c:ptCount val="10"/>
                <c:pt idx="0">
                  <c:v>-13</c:v>
                </c:pt>
                <c:pt idx="1">
                  <c:v>-10</c:v>
                </c:pt>
                <c:pt idx="2">
                  <c:v>-6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9</c:v>
                </c:pt>
                <c:pt idx="8">
                  <c:v>12</c:v>
                </c:pt>
                <c:pt idx="9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43568"/>
        <c:axId val="269828760"/>
      </c:scatterChart>
      <c:valAx>
        <c:axId val="16354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Vref[BDI/BTI]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828760"/>
        <c:crosses val="autoZero"/>
        <c:crossBetween val="midCat"/>
      </c:valAx>
      <c:valAx>
        <c:axId val="269828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Vact[BDI/BTI]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43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1401190968546124"/>
          <c:y val="0.77326917632123715"/>
          <c:w val="0.15212393998845666"/>
          <c:h val="0.152238895407879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0330" cy="630806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0"/>
  <sheetViews>
    <sheetView tabSelected="1" workbookViewId="0">
      <selection activeCell="I19" sqref="I19"/>
    </sheetView>
  </sheetViews>
  <sheetFormatPr defaultRowHeight="15" x14ac:dyDescent="0.25"/>
  <sheetData>
    <row r="2" spans="2:7" x14ac:dyDescent="0.25">
      <c r="B2" s="1"/>
      <c r="C2" s="3" t="s">
        <v>0</v>
      </c>
      <c r="D2" s="3" t="s">
        <v>1</v>
      </c>
      <c r="F2">
        <v>1.4919999999999999E-2</v>
      </c>
    </row>
    <row r="3" spans="2:7" x14ac:dyDescent="0.25">
      <c r="B3" s="1" t="s">
        <v>2</v>
      </c>
      <c r="C3" s="2">
        <v>-125</v>
      </c>
      <c r="D3" s="2">
        <v>-54</v>
      </c>
    </row>
    <row r="4" spans="2:7" x14ac:dyDescent="0.25">
      <c r="B4" s="1" t="s">
        <v>3</v>
      </c>
      <c r="C4" s="2">
        <v>-100</v>
      </c>
      <c r="D4" s="2">
        <v>-42</v>
      </c>
      <c r="F4" t="s">
        <v>8</v>
      </c>
      <c r="G4">
        <f>B6/(5*F2*(1-B6))</f>
        <v>10.626772931191764</v>
      </c>
    </row>
    <row r="5" spans="2:7" x14ac:dyDescent="0.25">
      <c r="B5" s="1" t="s">
        <v>7</v>
      </c>
      <c r="C5" s="2">
        <v>-75</v>
      </c>
      <c r="D5" s="2">
        <v>-31</v>
      </c>
    </row>
    <row r="6" spans="2:7" x14ac:dyDescent="0.25">
      <c r="B6" s="1">
        <v>0.44219999999999998</v>
      </c>
      <c r="C6" s="2">
        <v>-50</v>
      </c>
      <c r="D6" s="2">
        <v>-20</v>
      </c>
    </row>
    <row r="7" spans="2:7" x14ac:dyDescent="0.25">
      <c r="B7" s="1"/>
      <c r="C7" s="2">
        <v>-25</v>
      </c>
      <c r="D7" s="2">
        <v>-8</v>
      </c>
    </row>
    <row r="8" spans="2:7" x14ac:dyDescent="0.25">
      <c r="B8" s="1"/>
      <c r="C8" s="2">
        <v>0</v>
      </c>
      <c r="D8" s="2">
        <v>0</v>
      </c>
    </row>
    <row r="9" spans="2:7" x14ac:dyDescent="0.25">
      <c r="B9" s="1"/>
      <c r="C9" s="2">
        <v>25</v>
      </c>
      <c r="D9" s="2">
        <v>12</v>
      </c>
    </row>
    <row r="10" spans="2:7" x14ac:dyDescent="0.25">
      <c r="B10" s="1"/>
      <c r="C10" s="2">
        <v>50</v>
      </c>
      <c r="D10" s="2">
        <v>23</v>
      </c>
    </row>
    <row r="11" spans="2:7" x14ac:dyDescent="0.25">
      <c r="B11" s="1"/>
      <c r="C11" s="2">
        <v>75</v>
      </c>
      <c r="D11" s="2">
        <v>35</v>
      </c>
    </row>
    <row r="12" spans="2:7" x14ac:dyDescent="0.25">
      <c r="B12" s="1"/>
      <c r="C12" s="2">
        <v>100</v>
      </c>
      <c r="D12" s="2">
        <v>46</v>
      </c>
    </row>
    <row r="13" spans="2:7" x14ac:dyDescent="0.25">
      <c r="B13" s="1"/>
      <c r="C13" s="2">
        <v>125</v>
      </c>
      <c r="D13" s="2">
        <v>58</v>
      </c>
    </row>
    <row r="14" spans="2:7" x14ac:dyDescent="0.25">
      <c r="B14" s="1"/>
      <c r="C14" s="1"/>
      <c r="D14" s="1"/>
    </row>
    <row r="15" spans="2:7" x14ac:dyDescent="0.25">
      <c r="B15" s="1" t="s">
        <v>4</v>
      </c>
      <c r="C15" s="2">
        <v>-125</v>
      </c>
      <c r="D15" s="2">
        <v>-38</v>
      </c>
      <c r="F15">
        <f>B17/(3*F2*(1-B17))</f>
        <v>10.479802306226059</v>
      </c>
    </row>
    <row r="16" spans="2:7" x14ac:dyDescent="0.25">
      <c r="B16" s="1" t="s">
        <v>6</v>
      </c>
      <c r="C16" s="2">
        <v>-100</v>
      </c>
      <c r="D16" s="2">
        <v>-30</v>
      </c>
    </row>
    <row r="17" spans="2:9" x14ac:dyDescent="0.25">
      <c r="B17" s="1">
        <v>0.31929999999999997</v>
      </c>
      <c r="C17" s="2">
        <v>-75</v>
      </c>
      <c r="D17" s="2">
        <v>-21</v>
      </c>
    </row>
    <row r="18" spans="2:9" x14ac:dyDescent="0.25">
      <c r="B18" s="1"/>
      <c r="C18" s="2">
        <v>-50</v>
      </c>
      <c r="D18" s="2">
        <v>-13</v>
      </c>
      <c r="I18">
        <f>AVERAGE(F27,F15,G4)</f>
        <v>10.151505537664965</v>
      </c>
    </row>
    <row r="19" spans="2:9" x14ac:dyDescent="0.25">
      <c r="B19" s="1"/>
      <c r="C19" s="2">
        <v>-25</v>
      </c>
      <c r="D19" s="2">
        <v>-5</v>
      </c>
    </row>
    <row r="20" spans="2:9" x14ac:dyDescent="0.25">
      <c r="B20" s="1"/>
      <c r="C20" s="2">
        <v>0</v>
      </c>
      <c r="D20" s="2">
        <v>0</v>
      </c>
    </row>
    <row r="21" spans="2:9" x14ac:dyDescent="0.25">
      <c r="B21" s="1"/>
      <c r="C21" s="2">
        <v>25</v>
      </c>
      <c r="D21" s="2">
        <v>9</v>
      </c>
    </row>
    <row r="22" spans="2:9" x14ac:dyDescent="0.25">
      <c r="B22" s="1"/>
      <c r="C22" s="2">
        <v>50</v>
      </c>
      <c r="D22" s="2">
        <v>18</v>
      </c>
    </row>
    <row r="23" spans="2:9" x14ac:dyDescent="0.25">
      <c r="B23" s="1"/>
      <c r="C23" s="2">
        <v>75</v>
      </c>
      <c r="D23" s="2">
        <v>26</v>
      </c>
    </row>
    <row r="24" spans="2:9" x14ac:dyDescent="0.25">
      <c r="B24" s="1"/>
      <c r="C24" s="2">
        <v>100</v>
      </c>
      <c r="D24" s="2">
        <v>34</v>
      </c>
    </row>
    <row r="25" spans="2:9" x14ac:dyDescent="0.25">
      <c r="B25" s="1"/>
      <c r="C25" s="2">
        <v>125</v>
      </c>
      <c r="D25" s="2">
        <v>43</v>
      </c>
    </row>
    <row r="26" spans="2:9" x14ac:dyDescent="0.25">
      <c r="B26" s="1"/>
      <c r="C26" s="1"/>
      <c r="D26" s="1"/>
    </row>
    <row r="27" spans="2:9" x14ac:dyDescent="0.25">
      <c r="B27" s="1" t="s">
        <v>5</v>
      </c>
      <c r="C27" s="2">
        <v>-125</v>
      </c>
      <c r="D27" s="2">
        <v>-13</v>
      </c>
      <c r="F27">
        <f>B29/(1*F2*(1-B29))</f>
        <v>9.3479413755770668</v>
      </c>
    </row>
    <row r="28" spans="2:9" x14ac:dyDescent="0.25">
      <c r="B28" s="1" t="s">
        <v>3</v>
      </c>
      <c r="C28" s="2">
        <v>-100</v>
      </c>
      <c r="D28" s="2">
        <v>-10</v>
      </c>
    </row>
    <row r="29" spans="2:9" x14ac:dyDescent="0.25">
      <c r="B29" s="1">
        <v>0.12239999999999999</v>
      </c>
      <c r="C29" s="2">
        <v>-75</v>
      </c>
      <c r="D29" s="2">
        <v>-6</v>
      </c>
    </row>
    <row r="30" spans="2:9" x14ac:dyDescent="0.25">
      <c r="B30" s="1"/>
      <c r="C30" s="2">
        <v>-50</v>
      </c>
      <c r="D30" s="2">
        <v>0</v>
      </c>
    </row>
    <row r="31" spans="2:9" x14ac:dyDescent="0.25">
      <c r="B31" s="1"/>
      <c r="C31" s="2">
        <v>-25</v>
      </c>
      <c r="D31" s="2">
        <v>0</v>
      </c>
    </row>
    <row r="32" spans="2:9" x14ac:dyDescent="0.25">
      <c r="B32" s="1"/>
      <c r="C32" s="2">
        <v>0</v>
      </c>
      <c r="D32" s="2">
        <v>0</v>
      </c>
    </row>
    <row r="33" spans="2:4" x14ac:dyDescent="0.25">
      <c r="B33" s="1"/>
      <c r="C33" s="2">
        <v>25</v>
      </c>
      <c r="D33" s="2">
        <v>5</v>
      </c>
    </row>
    <row r="34" spans="2:4" x14ac:dyDescent="0.25">
      <c r="B34" s="1"/>
      <c r="C34" s="2">
        <v>50</v>
      </c>
      <c r="D34" s="2">
        <v>9</v>
      </c>
    </row>
    <row r="35" spans="2:4" x14ac:dyDescent="0.25">
      <c r="B35" s="1"/>
      <c r="C35" s="2">
        <v>75</v>
      </c>
      <c r="D35" s="2">
        <v>12</v>
      </c>
    </row>
    <row r="36" spans="2:4" x14ac:dyDescent="0.25">
      <c r="B36" s="1"/>
      <c r="C36" s="2">
        <v>100</v>
      </c>
      <c r="D36" s="2">
        <v>16</v>
      </c>
    </row>
    <row r="37" spans="2:4" x14ac:dyDescent="0.25">
      <c r="B37" s="1"/>
      <c r="C37" s="1">
        <v>125</v>
      </c>
      <c r="D37" s="1">
        <v>19</v>
      </c>
    </row>
    <row r="38" spans="2:4" x14ac:dyDescent="0.25">
      <c r="B38" s="1"/>
      <c r="C38" s="1"/>
      <c r="D38" s="1"/>
    </row>
    <row r="39" spans="2:4" x14ac:dyDescent="0.25">
      <c r="B39" s="1"/>
      <c r="C39" s="1"/>
      <c r="D39" s="1"/>
    </row>
    <row r="40" spans="2:4" x14ac:dyDescent="0.25">
      <c r="B40" s="1"/>
      <c r="C40" s="1"/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2015-12-05T17:58:56Z</dcterms:created>
  <dcterms:modified xsi:type="dcterms:W3CDTF">2015-12-05T20:24:35Z</dcterms:modified>
</cp:coreProperties>
</file>